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p" sheetId="1" r:id="rId4"/>
  </sheets>
  <definedNames>
    <definedName hidden="1" localSheetId="0" name="_xlnm._FilterDatabase">Sheep!$A$1:$AT$1075</definedName>
    <definedName hidden="1" localSheetId="0" name="Z_716E8DA9_57C1_4A99_BA58_6C4D299CA339_.wvu.FilterData">Sheep!$A$1:$AT$1075</definedName>
    <definedName hidden="1" localSheetId="0" name="Z_8349A731_DC73_4191_9909_0CA7F28D2525_.wvu.FilterData">Sheep!$A$1:$AT$1075</definedName>
    <definedName hidden="1" localSheetId="0" name="Z_E351869E_1BFC_4586_AE74_4D6478CBFA15_.wvu.FilterData">Sheep!$A$1:$AT$1075</definedName>
  </definedNames>
  <calcPr/>
  <customWorkbookViews>
    <customWorkbookView activeSheetId="0" maximized="1" windowHeight="0" windowWidth="0" guid="{E351869E-1BFC-4586-AE74-4D6478CBFA15}" name="Current Lambs"/>
    <customWorkbookView activeSheetId="0" maximized="1" windowHeight="0" windowWidth="0" guid="{8349A731-DC73-4191-9909-0CA7F28D2525}" name="Current Ewes"/>
    <customWorkbookView activeSheetId="0" maximized="1" windowHeight="0" windowWidth="0" guid="{716E8DA9-57C1-4A99-BA58-6C4D299CA339}" name="Current flock"/>
  </customWorkbookViews>
</workbook>
</file>

<file path=xl/sharedStrings.xml><?xml version="1.0" encoding="utf-8"?>
<sst xmlns="http://schemas.openxmlformats.org/spreadsheetml/2006/main" count="1303" uniqueCount="228">
  <si>
    <t>id</t>
  </si>
  <si>
    <t>BATT tag</t>
  </si>
  <si>
    <t>gen</t>
  </si>
  <si>
    <t>other tag</t>
  </si>
  <si>
    <t>purchase date</t>
  </si>
  <si>
    <t>purchase price</t>
  </si>
  <si>
    <t>sale date</t>
  </si>
  <si>
    <t>sale $</t>
  </si>
  <si>
    <t>born</t>
  </si>
  <si>
    <t>sire</t>
  </si>
  <si>
    <t>dam</t>
  </si>
  <si>
    <t>dam tag</t>
  </si>
  <si>
    <t>lambs</t>
  </si>
  <si>
    <t>lambs this year</t>
  </si>
  <si>
    <t>lamb age (days)</t>
  </si>
  <si>
    <t>cull</t>
  </si>
  <si>
    <t>Desc</t>
  </si>
  <si>
    <t>Prohibit Ewes 7/30/2025</t>
  </si>
  <si>
    <t>market lamb Valbazen+CD&amp;T 7/1/2025</t>
  </si>
  <si>
    <t>gary janes 5/10/2025</t>
  </si>
  <si>
    <t>prohibit 4/22/2025</t>
  </si>
  <si>
    <t>cd&amp;t 4/22/2025</t>
  </si>
  <si>
    <t>2025/3/16 prohibit ewes (not lambed yet)</t>
  </si>
  <si>
    <t>2024/9/3 wormer</t>
  </si>
  <si>
    <t>2024/4/23 vax</t>
  </si>
  <si>
    <t>event 1</t>
  </si>
  <si>
    <t>event 2</t>
  </si>
  <si>
    <t>11/19 weight</t>
  </si>
  <si>
    <t>11/19 sale</t>
  </si>
  <si>
    <t>vaccine 12/26/2021</t>
  </si>
  <si>
    <t>original flock</t>
  </si>
  <si>
    <t>f</t>
  </si>
  <si>
    <t>cinnimon</t>
  </si>
  <si>
    <t>2 healthy lambs</t>
  </si>
  <si>
    <t>2 brown white head spot (7&amp;8) &amp; 1 still born</t>
  </si>
  <si>
    <t>found dead in field (acidiosis?  Ate a bunch of corn.)</t>
  </si>
  <si>
    <t>Janes</t>
  </si>
  <si>
    <t>white</t>
  </si>
  <si>
    <t>White</t>
  </si>
  <si>
    <t>v</t>
  </si>
  <si>
    <t>Single dead Lamb. induced by goat butt?</t>
  </si>
  <si>
    <t>(2 white females, 9&amp;10)</t>
  </si>
  <si>
    <t>4/17/2020 got the squirts</t>
  </si>
  <si>
    <t>x</t>
  </si>
  <si>
    <t>000002</t>
  </si>
  <si>
    <t>brown</t>
  </si>
  <si>
    <t>c</t>
  </si>
  <si>
    <t>weights?</t>
  </si>
  <si>
    <t>000005</t>
  </si>
  <si>
    <t>m</t>
  </si>
  <si>
    <t>speckled</t>
  </si>
  <si>
    <t>brown white spot on head</t>
  </si>
  <si>
    <t>coyote</t>
  </si>
  <si>
    <t>000017</t>
  </si>
  <si>
    <t>white speckles nose</t>
  </si>
  <si>
    <t>white speckles, 3/31/2025 swollen jaw; head caught in fence?</t>
  </si>
  <si>
    <t>1058?</t>
  </si>
  <si>
    <t>retag 1192?</t>
  </si>
  <si>
    <t>000018</t>
  </si>
  <si>
    <t>all brown, good mom, but singles</t>
  </si>
  <si>
    <t>all brown</t>
  </si>
  <si>
    <t>000015</t>
  </si>
  <si>
    <t>brown collar</t>
  </si>
  <si>
    <t>Sold as a teaser to Joe Baldwin</t>
  </si>
  <si>
    <t>brown white head mark</t>
  </si>
  <si>
    <t>overeating?</t>
  </si>
  <si>
    <t>1183?</t>
  </si>
  <si>
    <t>000008</t>
  </si>
  <si>
    <t>BAG2919</t>
  </si>
  <si>
    <t>trade</t>
  </si>
  <si>
    <t>000013</t>
  </si>
  <si>
    <t>000010</t>
  </si>
  <si>
    <t>000014</t>
  </si>
  <si>
    <t>19?</t>
  </si>
  <si>
    <t>dark brown</t>
  </si>
  <si>
    <t>May be mixed up with 30</t>
  </si>
  <si>
    <t>never thrived</t>
  </si>
  <si>
    <t>Jester-5</t>
  </si>
  <si>
    <t>mastitis</t>
  </si>
  <si>
    <t>missing tag</t>
  </si>
  <si>
    <t>Dorper</t>
  </si>
  <si>
    <t>low milk? Not motherly.</t>
  </si>
  <si>
    <t>12/2020 sore foot</t>
  </si>
  <si>
    <t>May be mixed up with 24</t>
  </si>
  <si>
    <t>solid white</t>
  </si>
  <si>
    <t>"stupid"</t>
  </si>
  <si>
    <t>Carson</t>
  </si>
  <si>
    <t>tan collar</t>
  </si>
  <si>
    <t>bella</t>
  </si>
  <si>
    <t>was 1004</t>
  </si>
  <si>
    <t>blotchy white, was 1121</t>
  </si>
  <si>
    <t>new tag 1376?</t>
  </si>
  <si>
    <t>was 1060</t>
  </si>
  <si>
    <t>cinnamon</t>
  </si>
  <si>
    <t>?</t>
  </si>
  <si>
    <t>Winners</t>
  </si>
  <si>
    <t>bottle</t>
  </si>
  <si>
    <t>overeating</t>
  </si>
  <si>
    <t>lamb died clostridium 10/17/2022</t>
  </si>
  <si>
    <t>12 lbs</t>
  </si>
  <si>
    <t>11/4/2021 overeating</t>
  </si>
  <si>
    <t>5.6 lbs</t>
  </si>
  <si>
    <t>1045 died 11/3/2021?</t>
  </si>
  <si>
    <t>???</t>
  </si>
  <si>
    <t>X</t>
  </si>
  <si>
    <t>7.2 lbs</t>
  </si>
  <si>
    <t>lite</t>
  </si>
  <si>
    <t>7.4 lbs</t>
  </si>
  <si>
    <t>8.2 lbs</t>
  </si>
  <si>
    <t xml:space="preserve">tag found in pasture </t>
  </si>
  <si>
    <t>black</t>
  </si>
  <si>
    <t>?C&amp;D</t>
  </si>
  <si>
    <t>dk brown</t>
  </si>
  <si>
    <t>scours</t>
  </si>
  <si>
    <t>hung in hay feeder</t>
  </si>
  <si>
    <t>heavy lt brown</t>
  </si>
  <si>
    <t>dame no tag 1049</t>
  </si>
  <si>
    <t>dk brown, big balls</t>
  </si>
  <si>
    <t>scrawny-ass tiny</t>
  </si>
  <si>
    <t xml:space="preserve">never thrived. found dead in field, probaably overeating. </t>
  </si>
  <si>
    <t>black leg and mask</t>
  </si>
  <si>
    <t>Not thriving 10/2021</t>
  </si>
  <si>
    <t>purple hay ewe</t>
  </si>
  <si>
    <t>small white</t>
  </si>
  <si>
    <t>face eaten!?</t>
  </si>
  <si>
    <t>small black</t>
  </si>
  <si>
    <t>vaccinated, bu tlooks like overeating</t>
  </si>
  <si>
    <t>DOA</t>
  </si>
  <si>
    <t>crushed by bale of hay</t>
  </si>
  <si>
    <t>black nose/white body</t>
  </si>
  <si>
    <t>white curly</t>
  </si>
  <si>
    <t>trade from Joe Baldwin</t>
  </si>
  <si>
    <t>4h</t>
  </si>
  <si>
    <t>cinimon</t>
  </si>
  <si>
    <t>white big</t>
  </si>
  <si>
    <t>bloat</t>
  </si>
  <si>
    <t>1/22/2024 aborted lamb (not well formed.  Hemlock?)</t>
  </si>
  <si>
    <t>white&amp;black</t>
  </si>
  <si>
    <t>big brown</t>
  </si>
  <si>
    <t>small white abandon bottle</t>
  </si>
  <si>
    <t>coccidia</t>
  </si>
  <si>
    <t>single</t>
  </si>
  <si>
    <t>triplet</t>
  </si>
  <si>
    <t>bottle jaw x</t>
  </si>
  <si>
    <t>twin</t>
  </si>
  <si>
    <t>To Baldwins as ram</t>
  </si>
  <si>
    <t>Same as 153?</t>
  </si>
  <si>
    <t>replacement tag</t>
  </si>
  <si>
    <t>replacement tag, super chil, great mom</t>
  </si>
  <si>
    <t>4h processing workshop</t>
  </si>
  <si>
    <t>flighty, not motherly</t>
  </si>
  <si>
    <t>2/3/2025 loose tag</t>
  </si>
  <si>
    <t>11/15/2023, tiny lambs,1/31/2025 tiny lambs</t>
  </si>
  <si>
    <t>speckles, 2/5/2025 very chill</t>
  </si>
  <si>
    <t>What?</t>
  </si>
  <si>
    <t>"hung in pen</t>
  </si>
  <si>
    <t>15 total lambs lost.  Probably barber pole.</t>
  </si>
  <si>
    <t>left ear</t>
  </si>
  <si>
    <t>Not motherly. bony. SELL</t>
  </si>
  <si>
    <t>1203?</t>
  </si>
  <si>
    <t>1202?</t>
  </si>
  <si>
    <t>contracted tendons given to Riddgeville rescue Bee wings and fuzzy things</t>
  </si>
  <si>
    <t>big white</t>
  </si>
  <si>
    <t>Cu? bloat? found dead in field where sleeping</t>
  </si>
  <si>
    <t>ran over while unrolling bale, broke leg</t>
  </si>
  <si>
    <t>Big multicolor spotted, walked away from first litter</t>
  </si>
  <si>
    <t>tan</t>
  </si>
  <si>
    <t>multicolor; overeating?</t>
  </si>
  <si>
    <t xml:space="preserve">black and white </t>
  </si>
  <si>
    <t>dam 1183 retag? dam was brown and died 4/26/2024</t>
  </si>
  <si>
    <t>starve/hypothermia</t>
  </si>
  <si>
    <t>120?</t>
  </si>
  <si>
    <t>hypothermia. Maybe jester-32?</t>
  </si>
  <si>
    <t>hay nerve injury to rear leg, recovered! was recorded as m, now f?</t>
  </si>
  <si>
    <t>just lambed</t>
  </si>
  <si>
    <t>1233-not</t>
  </si>
  <si>
    <t>mother retagged 1193</t>
  </si>
  <si>
    <t>mother tag 1133</t>
  </si>
  <si>
    <t>possibly tag 1133, spot on shoulder</t>
  </si>
  <si>
    <t>colostrum</t>
  </si>
  <si>
    <t>first lamb tiny (premature?)</t>
  </si>
  <si>
    <t>spotted ram</t>
  </si>
  <si>
    <t xml:space="preserve">retag - brown small - </t>
  </si>
  <si>
    <t>abandonded</t>
  </si>
  <si>
    <t>Walked from first twins, disoriented and died in field</t>
  </si>
  <si>
    <t>no tag</t>
  </si>
  <si>
    <t>no record!</t>
  </si>
  <si>
    <t>big blotchy, walked away from lambs</t>
  </si>
  <si>
    <t>tiny white</t>
  </si>
  <si>
    <t>smaller - tries to eat, mom rejected</t>
  </si>
  <si>
    <t>valbazen 6/1/23</t>
  </si>
  <si>
    <t>valbazen 7/20/23</t>
  </si>
  <si>
    <t>prohibit 9/1/2024,3/16/2025</t>
  </si>
  <si>
    <t>larger - tries to eat, mom is not cooperative</t>
  </si>
  <si>
    <t>retag</t>
  </si>
  <si>
    <t>no tag, lost tag, too skinny, old tag 1265, new tag 1344</t>
  </si>
  <si>
    <t>no tag, bad mom</t>
  </si>
  <si>
    <t>2401G</t>
  </si>
  <si>
    <t>HSA 2401</t>
  </si>
  <si>
    <t>DOA, big</t>
  </si>
  <si>
    <t>big tan</t>
  </si>
  <si>
    <t>mom has black spot on ear</t>
  </si>
  <si>
    <t>beautiful tan with black feet</t>
  </si>
  <si>
    <t>huge lamb</t>
  </si>
  <si>
    <t>tiny lambs</t>
  </si>
  <si>
    <t>1. tubed 16 oz, 2. found unresponsive and cold, tubed 5 oz and while tubing 1 oz of h20, died with Clostridium symptoms</t>
  </si>
  <si>
    <t>mastitus retag 1305</t>
  </si>
  <si>
    <t>scrawny, hunched, runt</t>
  </si>
  <si>
    <t>chocolate</t>
  </si>
  <si>
    <t>mom is 4h, tiny lamb</t>
  </si>
  <si>
    <t>mom is 4h, DOA</t>
  </si>
  <si>
    <t>Fuzzy</t>
  </si>
  <si>
    <t>Clyde</t>
  </si>
  <si>
    <t>starvation?</t>
  </si>
  <si>
    <t>Not recorded. No idea.</t>
  </si>
  <si>
    <t>small brown</t>
  </si>
  <si>
    <t>white, stayed small, starved</t>
  </si>
  <si>
    <t>meaty tan</t>
  </si>
  <si>
    <t>meaty tan - sold to welch, still very small</t>
  </si>
  <si>
    <t>big and white, but maybe abandonded. SELL!</t>
  </si>
  <si>
    <t>tan/white</t>
  </si>
  <si>
    <t>tan/white big</t>
  </si>
  <si>
    <t>bony white</t>
  </si>
  <si>
    <t>x, sick</t>
  </si>
  <si>
    <t>small dark brown</t>
  </si>
  <si>
    <t>white, may be wrong dam</t>
  </si>
  <si>
    <t>too small, tubed 2 oz cholostrum. next morning dead, limp and fluid ran out of mouth and nose (must have survived most of the night). Tubing appears to be correct, but stomach didn't hold (?).</t>
  </si>
  <si>
    <t>white speckeled nose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</si>
</sst>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&quot;$&quot;#,##0.00"/>
    <numFmt numFmtId="166" formatCode="m/d/yyyy"/>
    <numFmt numFmtId="167" formatCode="m/d"/>
    <numFmt numFmtId="168" formatCode="&quot;$&quot;#,##0"/>
    <numFmt numFmtId="169" formatCode="m/d/yy"/>
    <numFmt numFmtId="170" formatCode="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textRotation="45" wrapText="1"/>
    </xf>
    <xf borderId="0" fillId="0" fontId="1" numFmtId="164" xfId="0" applyAlignment="1" applyFont="1" applyNumberFormat="1">
      <alignment readingOrder="0" shrinkToFit="0" textRotation="45" wrapText="1"/>
    </xf>
    <xf borderId="0" fillId="0" fontId="1" numFmtId="165" xfId="0" applyAlignment="1" applyFont="1" applyNumberFormat="1">
      <alignment readingOrder="0" shrinkToFit="0" textRotation="45" wrapText="1"/>
    </xf>
    <xf borderId="0" fillId="0" fontId="1" numFmtId="0" xfId="0" applyAlignment="1" applyFont="1">
      <alignment readingOrder="0" shrinkToFit="0" textRotation="45" wrapText="0"/>
    </xf>
    <xf borderId="0" fillId="0" fontId="1" numFmtId="0" xfId="0" applyAlignment="1" applyFont="1">
      <alignment shrinkToFit="0" textRotation="45" wrapText="1"/>
    </xf>
    <xf borderId="0" fillId="0" fontId="1" numFmtId="166" xfId="0" applyAlignment="1" applyFont="1" applyNumberFormat="1">
      <alignment readingOrder="0" shrinkToFit="0" textRotation="45" wrapText="1"/>
    </xf>
    <xf borderId="0" fillId="0" fontId="1" numFmtId="167" xfId="0" applyAlignment="1" applyFont="1" applyNumberFormat="1">
      <alignment readingOrder="0" shrinkToFit="0" textRotation="45" wrapText="1"/>
    </xf>
    <xf borderId="0" fillId="0" fontId="2" numFmtId="0" xfId="0" applyAlignment="1" applyFont="1">
      <alignment shrinkToFit="0" textRotation="45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Font="1"/>
    <xf borderId="0" fillId="0" fontId="2" numFmtId="167" xfId="0" applyAlignment="1" applyFont="1" applyNumberFormat="1">
      <alignment readingOrder="0"/>
    </xf>
    <xf borderId="0" fillId="2" fontId="2" numFmtId="165" xfId="0" applyAlignment="1" applyFill="1" applyFont="1" applyNumberFormat="1">
      <alignment readingOrder="0"/>
    </xf>
    <xf borderId="0" fillId="3" fontId="3" numFmtId="0" xfId="0" applyAlignment="1" applyFill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Alignment="1" applyFont="1">
      <alignment readingOrder="0" shrinkToFit="0" wrapText="0"/>
    </xf>
    <xf borderId="0" fillId="0" fontId="2" numFmtId="14" xfId="0" applyAlignment="1" applyFont="1" applyNumberFormat="1">
      <alignment readingOrder="0"/>
    </xf>
    <xf borderId="0" fillId="2" fontId="2" numFmtId="164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2" numFmtId="164" xfId="0" applyFont="1" applyNumberFormat="1"/>
    <xf borderId="0" fillId="4" fontId="2" numFmtId="165" xfId="0" applyFont="1" applyNumberFormat="1"/>
    <xf borderId="0" fillId="4" fontId="2" numFmtId="164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shrinkToFit="0" wrapText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2" numFmtId="166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2" numFmtId="164" xfId="0" applyFont="1" applyNumberFormat="1"/>
    <xf borderId="0" fillId="5" fontId="2" numFmtId="165" xfId="0" applyFont="1" applyNumberFormat="1"/>
    <xf borderId="0" fillId="5" fontId="2" numFmtId="164" xfId="0" applyAlignment="1" applyFont="1" applyNumberFormat="1">
      <alignment readingOrder="0"/>
    </xf>
    <xf borderId="0" fillId="5" fontId="2" numFmtId="0" xfId="0" applyAlignment="1" applyFont="1">
      <alignment readingOrder="0" shrinkToFit="0" wrapText="0"/>
    </xf>
    <xf borderId="0" fillId="0" fontId="2" numFmtId="164" xfId="0" applyAlignment="1" applyFont="1" applyNumberFormat="1">
      <alignment shrinkToFit="0" wrapText="0"/>
    </xf>
    <xf borderId="0" fillId="0" fontId="2" numFmtId="3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1" numFmtId="10" xfId="0" applyFont="1" applyNumberFormat="1"/>
    <xf borderId="0" fillId="0" fontId="2" numFmtId="10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88"/>
    <col customWidth="1" min="3" max="3" width="14.75"/>
    <col customWidth="1" min="10" max="10" width="14.25"/>
    <col customWidth="1" min="11" max="11" width="7.25"/>
    <col customWidth="1" min="12" max="12" width="5.63"/>
    <col customWidth="1" min="13" max="13" width="11.88"/>
    <col customWidth="1" min="14" max="15" width="10.0"/>
    <col customWidth="1" min="16" max="16" width="7.75"/>
    <col customWidth="1" min="17" max="17" width="9.25"/>
    <col customWidth="1" min="18" max="18" width="7.13"/>
    <col customWidth="1" min="19" max="19" width="45.25"/>
    <col customWidth="1" min="20" max="25" width="9.88"/>
  </cols>
  <sheetData>
    <row r="1" ht="81.0" customHeight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2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1"/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4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5"/>
      <c r="AE1" s="6">
        <v>44511.0</v>
      </c>
      <c r="AF1" s="7">
        <v>44519.0</v>
      </c>
      <c r="AG1" s="1" t="s">
        <v>27</v>
      </c>
      <c r="AH1" s="1" t="s">
        <v>28</v>
      </c>
      <c r="AI1" s="8"/>
      <c r="AJ1" s="1" t="s">
        <v>29</v>
      </c>
      <c r="AK1" s="5"/>
      <c r="AL1" s="5"/>
      <c r="AM1" s="5"/>
      <c r="AN1" s="5"/>
      <c r="AO1" s="5"/>
      <c r="AP1" s="5"/>
      <c r="AQ1" s="5"/>
      <c r="AR1" s="5"/>
      <c r="AS1" s="5"/>
      <c r="AT1" s="5"/>
    </row>
    <row r="2">
      <c r="A2" s="9">
        <v>1.0</v>
      </c>
      <c r="B2" s="9">
        <v>257.0</v>
      </c>
      <c r="C2" s="9" t="s">
        <v>30</v>
      </c>
      <c r="D2" s="9">
        <v>1601.0</v>
      </c>
      <c r="E2" s="9">
        <v>257.0</v>
      </c>
      <c r="F2" s="10">
        <v>42694.0</v>
      </c>
      <c r="G2" s="11">
        <v>250.0</v>
      </c>
      <c r="H2" s="10">
        <v>44108.0</v>
      </c>
      <c r="I2" s="12"/>
      <c r="J2" s="10">
        <v>42370.0</v>
      </c>
      <c r="K2" s="9" t="s">
        <v>31</v>
      </c>
      <c r="L2" s="13"/>
      <c r="M2" s="13"/>
      <c r="N2" s="13" t="str">
        <f t="shared" ref="N2:N78" si="1">xlookup(M2,A:A,B:B)</f>
        <v>#N/A</v>
      </c>
      <c r="O2" s="9">
        <f t="shared" ref="O2:O95" si="2">countif(M:M,A2)</f>
        <v>7</v>
      </c>
      <c r="P2" s="9"/>
      <c r="Q2" s="9">
        <f t="shared" ref="Q2:Q6" si="3">today()-xlookup(A2,M:M,J:J,"",0,-1)</f>
        <v>2150</v>
      </c>
      <c r="R2" s="9" t="str">
        <f t="shared" ref="R2:R4" si="4">if("m"=K2,"X",if(or(countif(Cull!A:A,B:B)&gt;0,"X"= XLOOKUP(M:M,A:A,R:R)),"X",""))</f>
        <v>#REF!</v>
      </c>
      <c r="S2" s="9" t="s">
        <v>32</v>
      </c>
      <c r="T2" s="9"/>
      <c r="U2" s="9"/>
      <c r="V2" s="9"/>
      <c r="W2" s="9"/>
      <c r="X2" s="9"/>
      <c r="Y2" s="9"/>
      <c r="Z2" s="9"/>
      <c r="AA2" s="9"/>
      <c r="AB2" s="9" t="s">
        <v>33</v>
      </c>
      <c r="AC2" s="9" t="s">
        <v>34</v>
      </c>
      <c r="AD2" s="9" t="s">
        <v>35</v>
      </c>
      <c r="AE2" s="13"/>
      <c r="AF2" s="13"/>
      <c r="AG2" s="13"/>
      <c r="AH2" s="13"/>
      <c r="AI2" s="13"/>
      <c r="AJ2" s="13"/>
      <c r="AK2" s="13"/>
      <c r="AL2" s="13"/>
    </row>
    <row r="3">
      <c r="A3" s="9">
        <v>2.0</v>
      </c>
      <c r="B3" s="9">
        <v>258.0</v>
      </c>
      <c r="C3" s="9" t="s">
        <v>30</v>
      </c>
      <c r="D3" s="9">
        <v>1602.0</v>
      </c>
      <c r="E3" s="9">
        <v>258.0</v>
      </c>
      <c r="F3" s="10">
        <v>42694.0</v>
      </c>
      <c r="G3" s="11">
        <v>250.0</v>
      </c>
      <c r="H3" s="14">
        <v>44520.0</v>
      </c>
      <c r="I3" s="15">
        <v>187.0</v>
      </c>
      <c r="J3" s="10">
        <v>42370.0</v>
      </c>
      <c r="K3" s="9" t="s">
        <v>31</v>
      </c>
      <c r="L3" s="13"/>
      <c r="M3" s="13"/>
      <c r="N3" s="13" t="str">
        <f t="shared" si="1"/>
        <v>#N/A</v>
      </c>
      <c r="O3" s="9">
        <f t="shared" si="2"/>
        <v>7</v>
      </c>
      <c r="P3" s="9"/>
      <c r="Q3" s="9">
        <f t="shared" si="3"/>
        <v>1867</v>
      </c>
      <c r="R3" s="9" t="str">
        <f t="shared" si="4"/>
        <v>#REF!</v>
      </c>
      <c r="S3" s="9" t="s">
        <v>32</v>
      </c>
      <c r="T3" s="9"/>
      <c r="U3" s="9"/>
      <c r="V3" s="9"/>
      <c r="W3" s="9"/>
      <c r="X3" s="9"/>
      <c r="Y3" s="9"/>
      <c r="Z3" s="9"/>
      <c r="AA3" s="9"/>
      <c r="AB3" s="9" t="s">
        <v>33</v>
      </c>
      <c r="AC3" s="13"/>
      <c r="AD3" s="13"/>
      <c r="AE3" s="13"/>
      <c r="AF3" s="13"/>
      <c r="AG3" s="13"/>
      <c r="AH3" s="9" t="s">
        <v>36</v>
      </c>
      <c r="AI3" s="13"/>
      <c r="AJ3" s="13"/>
      <c r="AK3" s="13"/>
      <c r="AL3" s="13"/>
    </row>
    <row r="4">
      <c r="A4" s="9">
        <v>3.0</v>
      </c>
      <c r="B4" s="9">
        <v>255.0</v>
      </c>
      <c r="C4" s="9" t="s">
        <v>30</v>
      </c>
      <c r="D4" s="9">
        <v>1539.0</v>
      </c>
      <c r="E4" s="9" t="s">
        <v>37</v>
      </c>
      <c r="F4" s="10">
        <v>42694.0</v>
      </c>
      <c r="G4" s="11">
        <v>250.0</v>
      </c>
      <c r="H4" s="10">
        <v>45450.0</v>
      </c>
      <c r="I4" s="12"/>
      <c r="J4" s="10">
        <v>42370.0</v>
      </c>
      <c r="K4" s="9" t="s">
        <v>31</v>
      </c>
      <c r="L4" s="13"/>
      <c r="M4" s="13"/>
      <c r="N4" s="13" t="str">
        <f t="shared" si="1"/>
        <v>#N/A</v>
      </c>
      <c r="O4" s="9">
        <f t="shared" si="2"/>
        <v>11</v>
      </c>
      <c r="P4" s="9"/>
      <c r="Q4" s="9">
        <f t="shared" si="3"/>
        <v>692</v>
      </c>
      <c r="R4" s="9" t="str">
        <f t="shared" si="4"/>
        <v>#REF!</v>
      </c>
      <c r="S4" s="9" t="s">
        <v>38</v>
      </c>
      <c r="T4" s="16"/>
      <c r="U4" s="16"/>
      <c r="V4" s="16"/>
      <c r="W4" s="16"/>
      <c r="X4" s="16"/>
      <c r="Y4" s="16"/>
      <c r="Z4" s="16"/>
      <c r="AA4" s="16" t="s">
        <v>39</v>
      </c>
      <c r="AB4" s="16" t="s">
        <v>40</v>
      </c>
      <c r="AC4" s="9" t="s">
        <v>41</v>
      </c>
      <c r="AD4" s="9" t="s">
        <v>42</v>
      </c>
      <c r="AE4" s="13"/>
      <c r="AF4" s="13"/>
      <c r="AG4" s="13"/>
      <c r="AH4" s="13"/>
      <c r="AI4" s="13"/>
      <c r="AJ4" s="9" t="s">
        <v>43</v>
      </c>
      <c r="AK4" s="13"/>
      <c r="AL4" s="13"/>
    </row>
    <row r="5">
      <c r="A5" s="9">
        <v>4.0</v>
      </c>
      <c r="B5" s="17" t="s">
        <v>44</v>
      </c>
      <c r="C5" s="9">
        <v>1.0</v>
      </c>
      <c r="D5" s="17" t="s">
        <v>44</v>
      </c>
      <c r="E5" s="13"/>
      <c r="F5" s="18"/>
      <c r="G5" s="11"/>
      <c r="H5" s="10">
        <v>45826.0</v>
      </c>
      <c r="I5" s="11"/>
      <c r="J5" s="10">
        <v>42797.0</v>
      </c>
      <c r="K5" s="9" t="s">
        <v>31</v>
      </c>
      <c r="L5" s="13"/>
      <c r="M5" s="9">
        <v>1.0</v>
      </c>
      <c r="N5" s="13">
        <f t="shared" si="1"/>
        <v>257</v>
      </c>
      <c r="O5" s="9">
        <f t="shared" si="2"/>
        <v>8</v>
      </c>
      <c r="P5" s="9">
        <f t="shared" ref="P5:P362" si="5">COUNTIFS(N:N,B5,J:J,"&gt;1/1/2025")</f>
        <v>1</v>
      </c>
      <c r="Q5" s="9">
        <f t="shared" si="3"/>
        <v>261</v>
      </c>
      <c r="R5" s="9" t="str">
        <f t="shared" ref="R5:R6" si="6">if(if("m"=K5,true,countif(Cull!A:A,B:B)&gt;0),"X","")</f>
        <v>#REF!</v>
      </c>
      <c r="S5" s="19" t="s">
        <v>45</v>
      </c>
      <c r="T5" s="9"/>
      <c r="U5" s="9"/>
      <c r="V5" s="9"/>
      <c r="W5" s="9"/>
      <c r="X5" s="9"/>
      <c r="Y5" s="9"/>
      <c r="Z5" s="9" t="s">
        <v>43</v>
      </c>
      <c r="AA5" s="9" t="s">
        <v>46</v>
      </c>
      <c r="AB5" s="13"/>
      <c r="AC5" s="13"/>
      <c r="AD5" s="13"/>
      <c r="AE5" s="9" t="s">
        <v>47</v>
      </c>
      <c r="AF5" s="13"/>
      <c r="AG5" s="13"/>
      <c r="AH5" s="13"/>
      <c r="AI5" s="13"/>
      <c r="AJ5" s="9" t="s">
        <v>43</v>
      </c>
      <c r="AK5" s="13"/>
      <c r="AL5" s="13"/>
    </row>
    <row r="6">
      <c r="A6" s="9">
        <v>5.0</v>
      </c>
      <c r="B6" s="17" t="s">
        <v>48</v>
      </c>
      <c r="C6" s="9">
        <v>1.0</v>
      </c>
      <c r="D6" s="17" t="s">
        <v>48</v>
      </c>
      <c r="E6" s="13"/>
      <c r="F6" s="18"/>
      <c r="G6" s="11"/>
      <c r="H6" s="10">
        <v>43092.0</v>
      </c>
      <c r="I6" s="11">
        <v>125.0</v>
      </c>
      <c r="J6" s="10">
        <v>42797.0</v>
      </c>
      <c r="K6" s="9" t="s">
        <v>49</v>
      </c>
      <c r="L6" s="13"/>
      <c r="M6" s="9">
        <v>2.0</v>
      </c>
      <c r="N6" s="13">
        <f t="shared" si="1"/>
        <v>258</v>
      </c>
      <c r="O6" s="9">
        <f t="shared" si="2"/>
        <v>0</v>
      </c>
      <c r="P6" s="9">
        <f t="shared" si="5"/>
        <v>0</v>
      </c>
      <c r="Q6" s="20">
        <f t="shared" si="3"/>
        <v>46012</v>
      </c>
      <c r="R6" s="9" t="str">
        <f t="shared" si="6"/>
        <v>X</v>
      </c>
      <c r="S6" s="9" t="s">
        <v>50</v>
      </c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</row>
    <row r="7">
      <c r="A7" s="9">
        <v>6.0</v>
      </c>
      <c r="B7" s="13"/>
      <c r="C7" s="9">
        <v>1.0</v>
      </c>
      <c r="D7" s="13"/>
      <c r="E7" s="13"/>
      <c r="F7" s="10">
        <v>43040.0</v>
      </c>
      <c r="G7" s="11">
        <v>200.0</v>
      </c>
      <c r="H7" s="14">
        <v>43561.0</v>
      </c>
      <c r="I7" s="11">
        <v>104.0</v>
      </c>
      <c r="J7" s="10">
        <v>42795.0</v>
      </c>
      <c r="K7" s="9" t="s">
        <v>49</v>
      </c>
      <c r="L7" s="13"/>
      <c r="M7" s="13"/>
      <c r="N7" s="13" t="str">
        <f t="shared" si="1"/>
        <v>#N/A</v>
      </c>
      <c r="O7" s="9">
        <f t="shared" si="2"/>
        <v>0</v>
      </c>
      <c r="P7" s="9">
        <f t="shared" si="5"/>
        <v>0</v>
      </c>
      <c r="Q7" s="9"/>
      <c r="R7" s="9" t="str">
        <f t="shared" ref="R7:R9" si="7">if("m"=K7,"X",if(or(countif(Cull!A:A,B:B)&gt;0,"X"= XLOOKUP(M:M,A:A,R:R)),"X",""))</f>
        <v>X</v>
      </c>
      <c r="S7" s="9" t="s">
        <v>45</v>
      </c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>
      <c r="A8" s="9">
        <v>7.0</v>
      </c>
      <c r="B8" s="13"/>
      <c r="C8" s="9">
        <v>2.0</v>
      </c>
      <c r="D8" s="9">
        <v>1.0</v>
      </c>
      <c r="E8" s="13"/>
      <c r="F8" s="10"/>
      <c r="G8" s="12"/>
      <c r="H8" s="14">
        <v>43561.0</v>
      </c>
      <c r="I8" s="11">
        <v>155.0</v>
      </c>
      <c r="J8" s="10">
        <v>43190.0</v>
      </c>
      <c r="K8" s="9" t="s">
        <v>49</v>
      </c>
      <c r="L8" s="9">
        <v>6.0</v>
      </c>
      <c r="M8" s="9">
        <v>1.0</v>
      </c>
      <c r="N8" s="13">
        <f t="shared" si="1"/>
        <v>257</v>
      </c>
      <c r="O8" s="9">
        <f t="shared" si="2"/>
        <v>0</v>
      </c>
      <c r="P8" s="9">
        <f t="shared" si="5"/>
        <v>0</v>
      </c>
      <c r="Q8" s="9"/>
      <c r="R8" s="9" t="str">
        <f t="shared" si="7"/>
        <v>X</v>
      </c>
      <c r="S8" s="9" t="s">
        <v>51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>
      <c r="A9" s="9">
        <v>8.0</v>
      </c>
      <c r="B9" s="13"/>
      <c r="C9" s="9">
        <v>2.0</v>
      </c>
      <c r="D9" s="13"/>
      <c r="E9" s="13"/>
      <c r="F9" s="10"/>
      <c r="G9" s="12"/>
      <c r="H9" s="10">
        <v>43274.0</v>
      </c>
      <c r="I9" s="12"/>
      <c r="J9" s="10">
        <v>43190.0</v>
      </c>
      <c r="K9" s="9" t="s">
        <v>49</v>
      </c>
      <c r="L9" s="9">
        <v>6.0</v>
      </c>
      <c r="M9" s="9">
        <v>1.0</v>
      </c>
      <c r="N9" s="13">
        <f t="shared" si="1"/>
        <v>257</v>
      </c>
      <c r="O9" s="9">
        <f t="shared" si="2"/>
        <v>0</v>
      </c>
      <c r="P9" s="9">
        <f t="shared" si="5"/>
        <v>0</v>
      </c>
      <c r="Q9" s="9"/>
      <c r="R9" s="9" t="str">
        <f t="shared" si="7"/>
        <v>X</v>
      </c>
      <c r="S9" s="9" t="s">
        <v>51</v>
      </c>
      <c r="T9" s="9"/>
      <c r="U9" s="9"/>
      <c r="V9" s="9"/>
      <c r="W9" s="9"/>
      <c r="X9" s="9"/>
      <c r="Y9" s="9"/>
      <c r="Z9" s="9"/>
      <c r="AA9" s="9"/>
      <c r="AB9" s="9" t="s">
        <v>52</v>
      </c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>
      <c r="A10" s="9">
        <v>9.0</v>
      </c>
      <c r="B10" s="17" t="s">
        <v>53</v>
      </c>
      <c r="C10" s="9">
        <v>2.0</v>
      </c>
      <c r="D10" s="9">
        <v>17.0</v>
      </c>
      <c r="F10" s="10"/>
      <c r="G10" s="12"/>
      <c r="H10" s="18"/>
      <c r="I10" s="12"/>
      <c r="J10" s="10">
        <v>43198.0</v>
      </c>
      <c r="K10" s="9" t="s">
        <v>31</v>
      </c>
      <c r="L10" s="9">
        <v>6.0</v>
      </c>
      <c r="M10" s="9">
        <v>3.0</v>
      </c>
      <c r="N10" s="13">
        <f t="shared" si="1"/>
        <v>255</v>
      </c>
      <c r="O10" s="9">
        <f t="shared" si="2"/>
        <v>8</v>
      </c>
      <c r="P10" s="9">
        <f t="shared" si="5"/>
        <v>2</v>
      </c>
      <c r="Q10" s="9">
        <f t="shared" ref="Q10:Q11" si="8">today()-xlookup(A10,M:M,J:J,"",0,-1)</f>
        <v>338</v>
      </c>
      <c r="R10" s="9" t="str">
        <f t="shared" ref="R10:R11" si="9">if(if("m"=K10,true,countif(Cull!A:A,B:B)&gt;0),"X","")</f>
        <v>#REF!</v>
      </c>
      <c r="S10" s="19" t="s">
        <v>54</v>
      </c>
      <c r="T10" s="9" t="s">
        <v>43</v>
      </c>
      <c r="U10" s="9"/>
      <c r="V10" s="9"/>
      <c r="W10" s="9" t="s">
        <v>43</v>
      </c>
      <c r="X10" s="9"/>
      <c r="Y10" s="9"/>
      <c r="Z10" s="9" t="s">
        <v>43</v>
      </c>
      <c r="AA10" s="13"/>
      <c r="AF10" s="13"/>
      <c r="AG10" s="13"/>
      <c r="AH10" s="13"/>
      <c r="AJ10" s="9" t="s">
        <v>43</v>
      </c>
    </row>
    <row r="11">
      <c r="A11" s="9">
        <v>10.0</v>
      </c>
      <c r="B11" s="9">
        <v>1006.0</v>
      </c>
      <c r="C11" s="9">
        <v>2.0</v>
      </c>
      <c r="F11" s="10"/>
      <c r="G11" s="12"/>
      <c r="I11" s="12"/>
      <c r="J11" s="10">
        <v>43198.0</v>
      </c>
      <c r="K11" s="9" t="s">
        <v>31</v>
      </c>
      <c r="L11" s="9">
        <v>6.0</v>
      </c>
      <c r="M11" s="9">
        <v>3.0</v>
      </c>
      <c r="N11" s="13">
        <f t="shared" si="1"/>
        <v>255</v>
      </c>
      <c r="O11" s="9">
        <f t="shared" si="2"/>
        <v>8</v>
      </c>
      <c r="P11" s="9">
        <f t="shared" si="5"/>
        <v>0</v>
      </c>
      <c r="Q11" s="9">
        <f t="shared" si="8"/>
        <v>702</v>
      </c>
      <c r="R11" s="9" t="str">
        <f t="shared" si="9"/>
        <v>#REF!</v>
      </c>
      <c r="S11" s="19" t="s">
        <v>55</v>
      </c>
      <c r="T11" s="9"/>
      <c r="U11" s="9"/>
      <c r="V11" s="9"/>
      <c r="W11" s="9" t="s">
        <v>43</v>
      </c>
      <c r="X11" s="9"/>
      <c r="Y11" s="9"/>
      <c r="Z11" s="9" t="s">
        <v>43</v>
      </c>
      <c r="AA11" s="9" t="s">
        <v>46</v>
      </c>
      <c r="AB11" s="9" t="s">
        <v>56</v>
      </c>
      <c r="AC11" s="9" t="s">
        <v>57</v>
      </c>
      <c r="AF11" s="13"/>
      <c r="AG11" s="13"/>
      <c r="AH11" s="13"/>
      <c r="AJ11" s="9" t="s">
        <v>43</v>
      </c>
    </row>
    <row r="12">
      <c r="A12" s="9">
        <v>11.0</v>
      </c>
      <c r="B12" s="13"/>
      <c r="C12" s="9">
        <v>2.0</v>
      </c>
      <c r="D12" s="13"/>
      <c r="E12" s="13"/>
      <c r="F12" s="10"/>
      <c r="G12" s="12"/>
      <c r="H12" s="10">
        <v>43210.0</v>
      </c>
      <c r="I12" s="12"/>
      <c r="J12" s="10">
        <v>43201.0</v>
      </c>
      <c r="K12" s="9" t="s">
        <v>49</v>
      </c>
      <c r="L12" s="9">
        <v>6.0</v>
      </c>
      <c r="M12" s="9">
        <v>4.0</v>
      </c>
      <c r="N12" s="13" t="str">
        <f t="shared" si="1"/>
        <v>000002</v>
      </c>
      <c r="O12" s="9">
        <f t="shared" si="2"/>
        <v>0</v>
      </c>
      <c r="P12" s="9">
        <f t="shared" si="5"/>
        <v>0</v>
      </c>
      <c r="Q12" s="9"/>
      <c r="R12" s="9" t="str">
        <f t="array" ref="R12">if("m"=K12,"X",if(or(countif(Cull!A:A,B:B)&gt;0,"X"= XLOOKUP(M:M,A:A,R:R)),"X",""))</f>
        <v>X</v>
      </c>
      <c r="S12" s="9" t="s">
        <v>51</v>
      </c>
      <c r="T12" s="9"/>
      <c r="U12" s="9"/>
      <c r="V12" s="9"/>
      <c r="W12" s="9"/>
      <c r="X12" s="9"/>
      <c r="Y12" s="9"/>
      <c r="Z12" s="9"/>
      <c r="AA12" s="9"/>
      <c r="AB12" s="9" t="s">
        <v>52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>
      <c r="A13" s="9">
        <v>12.0</v>
      </c>
      <c r="B13" s="17" t="s">
        <v>58</v>
      </c>
      <c r="C13" s="9">
        <v>2.0</v>
      </c>
      <c r="D13" s="9">
        <v>18.0</v>
      </c>
      <c r="E13" s="13"/>
      <c r="F13" s="10"/>
      <c r="G13" s="12"/>
      <c r="H13" s="10">
        <v>45826.0</v>
      </c>
      <c r="I13" s="12"/>
      <c r="J13" s="10">
        <v>43201.0</v>
      </c>
      <c r="K13" s="9" t="s">
        <v>31</v>
      </c>
      <c r="L13" s="9">
        <v>6.0</v>
      </c>
      <c r="M13" s="9">
        <v>4.0</v>
      </c>
      <c r="N13" s="13" t="str">
        <f t="shared" si="1"/>
        <v>000002</v>
      </c>
      <c r="O13" s="9">
        <f t="shared" si="2"/>
        <v>6</v>
      </c>
      <c r="P13" s="9">
        <f t="shared" si="5"/>
        <v>1</v>
      </c>
      <c r="Q13" s="9">
        <f t="array" ref="Q13">today()-xlookup(A13,M:M,J:J,"",0,-1)</f>
        <v>314</v>
      </c>
      <c r="R13" s="9" t="str">
        <f>if(if("m"=K13,true,countif(Cull!A:A,B:B)&gt;0),"X","")</f>
        <v>#REF!</v>
      </c>
      <c r="S13" s="19" t="s">
        <v>59</v>
      </c>
      <c r="T13" s="9"/>
      <c r="U13" s="9"/>
      <c r="V13" s="9"/>
      <c r="W13" s="9" t="s">
        <v>43</v>
      </c>
      <c r="X13" s="9"/>
      <c r="Y13" s="9"/>
      <c r="Z13" s="9" t="s">
        <v>43</v>
      </c>
      <c r="AA13" s="9" t="s">
        <v>39</v>
      </c>
      <c r="AB13" s="13"/>
      <c r="AC13" s="13"/>
      <c r="AD13" s="13"/>
      <c r="AE13" s="13"/>
      <c r="AF13" s="13"/>
      <c r="AG13" s="13"/>
      <c r="AH13" s="13"/>
      <c r="AI13" s="13"/>
      <c r="AJ13" s="9" t="s">
        <v>43</v>
      </c>
      <c r="AK13" s="13"/>
      <c r="AL13" s="13"/>
    </row>
    <row r="14">
      <c r="A14" s="9">
        <v>13.0</v>
      </c>
      <c r="B14" s="13"/>
      <c r="C14" s="9">
        <v>2.0</v>
      </c>
      <c r="D14" s="13"/>
      <c r="E14" s="13"/>
      <c r="F14" s="18"/>
      <c r="G14" s="12"/>
      <c r="H14" s="10">
        <v>43222.0</v>
      </c>
      <c r="I14" s="12"/>
      <c r="J14" s="10">
        <v>43213.0</v>
      </c>
      <c r="K14" s="9" t="s">
        <v>49</v>
      </c>
      <c r="L14" s="9">
        <v>6.0</v>
      </c>
      <c r="M14" s="9">
        <v>2.0</v>
      </c>
      <c r="N14" s="13">
        <f t="shared" si="1"/>
        <v>258</v>
      </c>
      <c r="O14" s="9">
        <f t="shared" si="2"/>
        <v>1</v>
      </c>
      <c r="P14" s="9">
        <f t="shared" si="5"/>
        <v>0</v>
      </c>
      <c r="Q14" s="9"/>
      <c r="R14" s="9" t="str">
        <f t="shared" ref="R14:R15" si="10">if("m"=K14,"X",if(or(countif(Cull!A:A,B:B)&gt;0,"X"= XLOOKUP(M:M,A:A,R:R)),"X",""))</f>
        <v>X</v>
      </c>
      <c r="S14" s="9" t="s">
        <v>60</v>
      </c>
      <c r="T14" s="9"/>
      <c r="U14" s="9"/>
      <c r="V14" s="9"/>
      <c r="W14" s="9"/>
      <c r="X14" s="9"/>
      <c r="Y14" s="9"/>
      <c r="Z14" s="9"/>
      <c r="AA14" s="9"/>
      <c r="AB14" s="9" t="s">
        <v>52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>
      <c r="A15" s="9">
        <v>14.0</v>
      </c>
      <c r="B15" s="13"/>
      <c r="C15" s="9">
        <v>2.0</v>
      </c>
      <c r="D15" s="13"/>
      <c r="E15" s="13"/>
      <c r="F15" s="18"/>
      <c r="G15" s="12"/>
      <c r="H15" s="10">
        <v>43222.0</v>
      </c>
      <c r="I15" s="12"/>
      <c r="J15" s="10">
        <v>43213.0</v>
      </c>
      <c r="K15" s="9" t="s">
        <v>49</v>
      </c>
      <c r="L15" s="9">
        <v>6.0</v>
      </c>
      <c r="M15" s="9">
        <v>2.0</v>
      </c>
      <c r="N15" s="13">
        <f t="shared" si="1"/>
        <v>258</v>
      </c>
      <c r="O15" s="9">
        <f t="shared" si="2"/>
        <v>0</v>
      </c>
      <c r="P15" s="9">
        <f t="shared" si="5"/>
        <v>0</v>
      </c>
      <c r="Q15" s="9"/>
      <c r="R15" s="9" t="str">
        <f t="shared" si="10"/>
        <v>X</v>
      </c>
      <c r="S15" s="9" t="s">
        <v>60</v>
      </c>
      <c r="T15" s="9"/>
      <c r="U15" s="9"/>
      <c r="V15" s="9"/>
      <c r="W15" s="9"/>
      <c r="X15" s="9"/>
      <c r="Y15" s="9"/>
      <c r="Z15" s="9"/>
      <c r="AA15" s="9"/>
      <c r="AB15" s="9" t="s">
        <v>52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>
      <c r="A16" s="9">
        <v>15.0</v>
      </c>
      <c r="B16" s="17" t="s">
        <v>61</v>
      </c>
      <c r="C16" s="9">
        <v>3.0</v>
      </c>
      <c r="D16" s="9">
        <v>15.0</v>
      </c>
      <c r="E16" s="13"/>
      <c r="F16" s="18"/>
      <c r="G16" s="12"/>
      <c r="H16" s="10">
        <v>45801.0</v>
      </c>
      <c r="I16" s="12"/>
      <c r="J16" s="10">
        <v>43530.0</v>
      </c>
      <c r="K16" s="9" t="s">
        <v>31</v>
      </c>
      <c r="L16" s="9">
        <v>6.0</v>
      </c>
      <c r="M16" s="9">
        <v>3.0</v>
      </c>
      <c r="N16" s="13">
        <f t="shared" si="1"/>
        <v>255</v>
      </c>
      <c r="O16" s="9">
        <f t="shared" si="2"/>
        <v>7</v>
      </c>
      <c r="P16" s="9">
        <f t="shared" si="5"/>
        <v>3</v>
      </c>
      <c r="Q16" s="9">
        <f t="array" ref="Q16">today()-xlookup(A16,M:M,J:J,"",0,-1)</f>
        <v>320</v>
      </c>
      <c r="R16" s="9" t="str">
        <f>if(if("m"=K16,true,countif(Cull!A:A,B:B)&gt;0),"X","")</f>
        <v>#REF!</v>
      </c>
      <c r="S16" s="19" t="s">
        <v>62</v>
      </c>
      <c r="T16" s="9"/>
      <c r="U16" s="9"/>
      <c r="V16" s="9"/>
      <c r="W16" s="9" t="s">
        <v>43</v>
      </c>
      <c r="X16" s="9"/>
      <c r="Y16" s="9"/>
      <c r="Z16" s="9" t="s">
        <v>43</v>
      </c>
      <c r="AA16" s="9" t="s">
        <v>39</v>
      </c>
      <c r="AB16" s="13"/>
      <c r="AC16" s="13"/>
      <c r="AD16" s="13"/>
      <c r="AE16" s="13"/>
      <c r="AF16" s="13"/>
      <c r="AG16" s="13"/>
      <c r="AH16" s="13"/>
      <c r="AI16" s="13"/>
      <c r="AJ16" s="9" t="s">
        <v>43</v>
      </c>
      <c r="AK16" s="13"/>
      <c r="AL16" s="13"/>
    </row>
    <row r="17">
      <c r="A17" s="9">
        <v>16.0</v>
      </c>
      <c r="B17" s="9"/>
      <c r="C17" s="9">
        <v>3.0</v>
      </c>
      <c r="D17" s="9">
        <v>16.0</v>
      </c>
      <c r="E17" s="13"/>
      <c r="F17" s="18"/>
      <c r="G17" s="12"/>
      <c r="H17" s="21">
        <v>43770.0</v>
      </c>
      <c r="I17" s="11">
        <v>100.0</v>
      </c>
      <c r="J17" s="10">
        <v>43530.0</v>
      </c>
      <c r="K17" s="9" t="s">
        <v>49</v>
      </c>
      <c r="L17" s="9">
        <v>6.0</v>
      </c>
      <c r="M17" s="9">
        <v>3.0</v>
      </c>
      <c r="N17" s="13">
        <f t="shared" si="1"/>
        <v>255</v>
      </c>
      <c r="O17" s="9">
        <f t="shared" si="2"/>
        <v>0</v>
      </c>
      <c r="P17" s="9">
        <f t="shared" si="5"/>
        <v>0</v>
      </c>
      <c r="Q17" s="9"/>
      <c r="R17" s="9" t="str">
        <f t="shared" ref="R17:R19" si="11">if("m"=K17,"X",if(or(countif(Cull!A:A,B:B)&gt;0,"X"= XLOOKUP(M:M,A:A,R:R)),"X",""))</f>
        <v>X</v>
      </c>
      <c r="S17" s="9" t="s">
        <v>37</v>
      </c>
      <c r="T17" s="9"/>
      <c r="U17" s="9"/>
      <c r="V17" s="9"/>
      <c r="W17" s="9"/>
      <c r="X17" s="9"/>
      <c r="Y17" s="9"/>
      <c r="Z17" s="9"/>
      <c r="AA17" s="9"/>
      <c r="AB17" s="9" t="s">
        <v>63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>
      <c r="A18" s="9">
        <v>17.0</v>
      </c>
      <c r="B18" s="9"/>
      <c r="C18" s="9">
        <v>3.0</v>
      </c>
      <c r="D18" s="9">
        <v>12.0</v>
      </c>
      <c r="E18" s="13"/>
      <c r="F18" s="18"/>
      <c r="G18" s="12"/>
      <c r="H18" s="10">
        <v>43670.0</v>
      </c>
      <c r="I18" s="11"/>
      <c r="J18" s="10">
        <v>43530.0</v>
      </c>
      <c r="K18" s="9" t="s">
        <v>49</v>
      </c>
      <c r="L18" s="9">
        <v>6.0</v>
      </c>
      <c r="M18" s="9">
        <v>2.0</v>
      </c>
      <c r="N18" s="13">
        <f t="shared" si="1"/>
        <v>258</v>
      </c>
      <c r="O18" s="9">
        <f t="shared" si="2"/>
        <v>0</v>
      </c>
      <c r="P18" s="9">
        <f t="shared" si="5"/>
        <v>0</v>
      </c>
      <c r="Q18" s="9"/>
      <c r="R18" s="9" t="str">
        <f t="shared" si="11"/>
        <v>X</v>
      </c>
      <c r="S18" s="9" t="s">
        <v>64</v>
      </c>
      <c r="T18" s="9"/>
      <c r="U18" s="9"/>
      <c r="V18" s="9"/>
      <c r="W18" s="9"/>
      <c r="X18" s="9"/>
      <c r="Y18" s="9"/>
      <c r="Z18" s="9"/>
      <c r="AA18" s="9"/>
      <c r="AB18" s="9" t="s">
        <v>65</v>
      </c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>
      <c r="A19" s="22">
        <v>18.0</v>
      </c>
      <c r="B19" s="22"/>
      <c r="C19" s="22">
        <v>3.0</v>
      </c>
      <c r="D19" s="22">
        <v>11.0</v>
      </c>
      <c r="E19" s="23"/>
      <c r="F19" s="24"/>
      <c r="G19" s="25"/>
      <c r="I19" s="25"/>
      <c r="J19" s="26">
        <v>43535.0</v>
      </c>
      <c r="K19" s="22" t="s">
        <v>31</v>
      </c>
      <c r="L19" s="22">
        <v>6.0</v>
      </c>
      <c r="M19" s="22">
        <v>9.0</v>
      </c>
      <c r="N19" s="13" t="str">
        <f t="shared" si="1"/>
        <v>000017</v>
      </c>
      <c r="O19" s="22">
        <f t="shared" si="2"/>
        <v>0</v>
      </c>
      <c r="P19" s="9">
        <f t="shared" si="5"/>
        <v>0</v>
      </c>
      <c r="Q19" s="9"/>
      <c r="R19" s="9" t="str">
        <f t="shared" si="11"/>
        <v>#REF!</v>
      </c>
      <c r="S19" s="22" t="s">
        <v>45</v>
      </c>
      <c r="T19" s="22"/>
      <c r="U19" s="22"/>
      <c r="V19" s="22"/>
      <c r="W19" s="22"/>
      <c r="X19" s="22"/>
      <c r="Y19" s="22"/>
      <c r="Z19" s="22"/>
      <c r="AA19" s="22" t="s">
        <v>46</v>
      </c>
      <c r="AB19" s="22" t="s">
        <v>66</v>
      </c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</row>
    <row r="20">
      <c r="A20" s="9">
        <v>19.0</v>
      </c>
      <c r="B20" s="17" t="s">
        <v>67</v>
      </c>
      <c r="C20" s="9">
        <v>3.0</v>
      </c>
      <c r="D20" s="9">
        <v>8.0</v>
      </c>
      <c r="F20" s="18"/>
      <c r="G20" s="12"/>
      <c r="J20" s="10">
        <v>43535.0</v>
      </c>
      <c r="K20" s="9" t="s">
        <v>31</v>
      </c>
      <c r="L20" s="9">
        <v>6.0</v>
      </c>
      <c r="M20" s="9">
        <v>10.0</v>
      </c>
      <c r="N20" s="13">
        <f t="shared" si="1"/>
        <v>1006</v>
      </c>
      <c r="O20" s="9">
        <f t="shared" si="2"/>
        <v>9</v>
      </c>
      <c r="P20" s="9">
        <f t="shared" si="5"/>
        <v>2</v>
      </c>
      <c r="Q20" s="9">
        <f t="array" ref="Q20">today()-xlookup(A20,M:M,J:J,"",0,-1)</f>
        <v>319</v>
      </c>
      <c r="R20" s="9" t="str">
        <f>if(if("m"=K20,true,countif(Cull!A:A,B:B)&gt;0),"X","")</f>
        <v>#REF!</v>
      </c>
      <c r="S20" s="19" t="s">
        <v>45</v>
      </c>
      <c r="T20" s="9" t="s">
        <v>43</v>
      </c>
      <c r="U20" s="9"/>
      <c r="V20" s="9"/>
      <c r="W20" s="9" t="s">
        <v>43</v>
      </c>
      <c r="X20" s="9"/>
      <c r="Y20" s="9"/>
      <c r="Z20" s="9" t="s">
        <v>43</v>
      </c>
      <c r="AA20" s="9" t="s">
        <v>39</v>
      </c>
      <c r="AE20" s="9">
        <v>104.0</v>
      </c>
      <c r="AF20" s="9" t="s">
        <v>31</v>
      </c>
      <c r="AG20" s="13"/>
      <c r="AH20" s="13"/>
      <c r="AI20" s="13" t="str">
        <f>IF(K20=AF20,"","X")</f>
        <v/>
      </c>
      <c r="AJ20" s="9" t="s">
        <v>43</v>
      </c>
    </row>
    <row r="21">
      <c r="A21" s="9">
        <v>20.0</v>
      </c>
      <c r="B21" s="9"/>
      <c r="C21" s="13"/>
      <c r="D21" s="9" t="s">
        <v>68</v>
      </c>
      <c r="E21" s="9">
        <v>2919.0</v>
      </c>
      <c r="F21" s="10">
        <v>43531.0</v>
      </c>
      <c r="G21" s="27">
        <v>275.0</v>
      </c>
      <c r="H21" s="10">
        <v>44521.0</v>
      </c>
      <c r="I21" s="11" t="s">
        <v>69</v>
      </c>
      <c r="J21" s="9">
        <v>2016.0</v>
      </c>
      <c r="K21" s="9" t="s">
        <v>49</v>
      </c>
      <c r="L21" s="13"/>
      <c r="M21" s="13"/>
      <c r="N21" s="13" t="str">
        <f t="shared" si="1"/>
        <v>#N/A</v>
      </c>
      <c r="O21" s="9">
        <f t="shared" si="2"/>
        <v>0</v>
      </c>
      <c r="P21" s="9">
        <f t="shared" si="5"/>
        <v>0</v>
      </c>
      <c r="Q21" s="9"/>
      <c r="R21" s="9" t="str">
        <f t="array" ref="R21">if("m"=K21,"X",if(or(countif(Cull!A:A,B:B)&gt;0,"X"= XLOOKUP(M:M,A:A,R:R)),"X",""))</f>
        <v>X</v>
      </c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>
      <c r="A22" s="9">
        <v>21.0</v>
      </c>
      <c r="B22" s="17" t="s">
        <v>70</v>
      </c>
      <c r="C22" s="9">
        <v>3.0</v>
      </c>
      <c r="D22" s="9">
        <v>13.0</v>
      </c>
      <c r="E22" s="13"/>
      <c r="F22" s="18"/>
      <c r="G22" s="12"/>
      <c r="H22" s="10">
        <v>45801.0</v>
      </c>
      <c r="I22" s="12"/>
      <c r="J22" s="10">
        <v>43547.0</v>
      </c>
      <c r="K22" s="9" t="s">
        <v>31</v>
      </c>
      <c r="L22" s="9">
        <v>6.0</v>
      </c>
      <c r="M22" s="9">
        <v>1.0</v>
      </c>
      <c r="N22" s="13">
        <f t="shared" si="1"/>
        <v>257</v>
      </c>
      <c r="O22" s="9">
        <f t="shared" si="2"/>
        <v>4</v>
      </c>
      <c r="P22" s="9">
        <f t="shared" si="5"/>
        <v>1</v>
      </c>
      <c r="Q22" s="9">
        <f t="shared" ref="Q22:Q57" si="12">today()-xlookup(A22,M:M,J:J,"",0,-1)</f>
        <v>320</v>
      </c>
      <c r="R22" s="9" t="str">
        <f t="shared" ref="R22:R24" si="13">if(if("m"=K22,true,countif(Cull!A:A,B:B)&gt;0),"X","")</f>
        <v>#REF!</v>
      </c>
      <c r="S22" s="28"/>
      <c r="T22" s="9"/>
      <c r="U22" s="9"/>
      <c r="V22" s="9"/>
      <c r="W22" s="9" t="s">
        <v>43</v>
      </c>
      <c r="X22" s="9"/>
      <c r="Y22" s="9"/>
      <c r="Z22" s="9" t="s">
        <v>43</v>
      </c>
      <c r="AA22" s="9" t="s">
        <v>39</v>
      </c>
      <c r="AB22" s="13"/>
      <c r="AC22" s="13"/>
      <c r="AD22" s="13"/>
      <c r="AE22" s="9">
        <v>118.0</v>
      </c>
      <c r="AF22" s="9" t="s">
        <v>31</v>
      </c>
      <c r="AG22" s="13"/>
      <c r="AH22" s="13"/>
      <c r="AI22" s="13" t="str">
        <f t="shared" ref="AI22:AI23" si="14">IF(K22=AF22,"","X")</f>
        <v/>
      </c>
      <c r="AJ22" s="9" t="s">
        <v>43</v>
      </c>
      <c r="AK22" s="13"/>
      <c r="AL22" s="13"/>
    </row>
    <row r="23">
      <c r="A23" s="9">
        <v>22.0</v>
      </c>
      <c r="B23" s="17" t="s">
        <v>71</v>
      </c>
      <c r="C23" s="9">
        <v>3.0</v>
      </c>
      <c r="D23" s="9">
        <v>10.0</v>
      </c>
      <c r="E23" s="13"/>
      <c r="F23" s="18"/>
      <c r="G23" s="12"/>
      <c r="H23" s="10">
        <v>45801.0</v>
      </c>
      <c r="I23" s="12"/>
      <c r="J23" s="10">
        <v>43547.0</v>
      </c>
      <c r="K23" s="9" t="s">
        <v>31</v>
      </c>
      <c r="L23" s="9">
        <v>6.0</v>
      </c>
      <c r="M23" s="9">
        <v>1.0</v>
      </c>
      <c r="N23" s="13">
        <f t="shared" si="1"/>
        <v>257</v>
      </c>
      <c r="O23" s="9">
        <f t="shared" si="2"/>
        <v>6</v>
      </c>
      <c r="P23" s="9">
        <f t="shared" si="5"/>
        <v>1</v>
      </c>
      <c r="Q23" s="9">
        <f t="shared" si="12"/>
        <v>317</v>
      </c>
      <c r="R23" s="9" t="str">
        <f t="shared" si="13"/>
        <v>#REF!</v>
      </c>
      <c r="S23" s="28"/>
      <c r="T23" s="9"/>
      <c r="U23" s="9"/>
      <c r="V23" s="9"/>
      <c r="W23" s="9" t="s">
        <v>43</v>
      </c>
      <c r="X23" s="9"/>
      <c r="Y23" s="9"/>
      <c r="Z23" s="9" t="s">
        <v>43</v>
      </c>
      <c r="AA23" s="9" t="s">
        <v>39</v>
      </c>
      <c r="AB23" s="13"/>
      <c r="AC23" s="13"/>
      <c r="AD23" s="13"/>
      <c r="AE23" s="9">
        <v>118.0</v>
      </c>
      <c r="AF23" s="9" t="s">
        <v>31</v>
      </c>
      <c r="AG23" s="13"/>
      <c r="AH23" s="13"/>
      <c r="AI23" s="13" t="str">
        <f t="shared" si="14"/>
        <v/>
      </c>
      <c r="AJ23" s="9" t="s">
        <v>43</v>
      </c>
      <c r="AK23" s="13"/>
      <c r="AL23" s="13"/>
    </row>
    <row r="24">
      <c r="A24" s="9">
        <v>23.0</v>
      </c>
      <c r="B24" s="17" t="s">
        <v>72</v>
      </c>
      <c r="C24" s="9">
        <v>3.0</v>
      </c>
      <c r="D24" s="9">
        <v>14.0</v>
      </c>
      <c r="E24" s="13"/>
      <c r="F24" s="18"/>
      <c r="G24" s="12"/>
      <c r="H24" s="10">
        <v>45801.0</v>
      </c>
      <c r="I24" s="12"/>
      <c r="J24" s="10">
        <v>43547.0</v>
      </c>
      <c r="K24" s="9" t="s">
        <v>31</v>
      </c>
      <c r="L24" s="9">
        <v>6.0</v>
      </c>
      <c r="M24" s="9">
        <v>1.0</v>
      </c>
      <c r="N24" s="13">
        <f t="shared" si="1"/>
        <v>257</v>
      </c>
      <c r="O24" s="9">
        <f t="shared" si="2"/>
        <v>9</v>
      </c>
      <c r="P24" s="9">
        <f t="shared" si="5"/>
        <v>1</v>
      </c>
      <c r="Q24" s="9">
        <f t="shared" si="12"/>
        <v>339</v>
      </c>
      <c r="R24" s="9" t="str">
        <f t="shared" si="13"/>
        <v>#REF!</v>
      </c>
      <c r="S24" s="28"/>
      <c r="T24" s="9"/>
      <c r="U24" s="9"/>
      <c r="V24" s="9"/>
      <c r="W24" s="9" t="s">
        <v>43</v>
      </c>
      <c r="X24" s="9"/>
      <c r="Y24" s="9"/>
      <c r="Z24" s="9" t="s">
        <v>43</v>
      </c>
      <c r="AA24" s="9" t="s">
        <v>39</v>
      </c>
      <c r="AB24" s="13"/>
      <c r="AC24" s="13"/>
      <c r="AD24" s="13"/>
      <c r="AE24" s="13"/>
      <c r="AF24" s="13"/>
      <c r="AG24" s="13"/>
      <c r="AH24" s="13"/>
      <c r="AI24" s="13"/>
      <c r="AJ24" s="9" t="s">
        <v>43</v>
      </c>
      <c r="AK24" s="13"/>
      <c r="AL24" s="13"/>
    </row>
    <row r="25">
      <c r="A25" s="9">
        <v>24.0</v>
      </c>
      <c r="B25" s="9">
        <v>1013.0</v>
      </c>
      <c r="C25" s="13"/>
      <c r="D25" s="9" t="s">
        <v>73</v>
      </c>
      <c r="E25" s="13"/>
      <c r="F25" s="18"/>
      <c r="G25" s="12"/>
      <c r="H25" s="10">
        <v>43893.0</v>
      </c>
      <c r="I25" s="12"/>
      <c r="J25" s="10">
        <v>43605.0</v>
      </c>
      <c r="K25" s="9" t="s">
        <v>31</v>
      </c>
      <c r="L25" s="9">
        <v>6.0</v>
      </c>
      <c r="M25" s="9">
        <v>12.0</v>
      </c>
      <c r="N25" s="13" t="str">
        <f t="shared" si="1"/>
        <v>000018</v>
      </c>
      <c r="O25" s="9">
        <f t="shared" si="2"/>
        <v>0</v>
      </c>
      <c r="P25" s="9">
        <f t="shared" si="5"/>
        <v>0</v>
      </c>
      <c r="Q25" s="20">
        <f t="shared" si="12"/>
        <v>46012</v>
      </c>
      <c r="R25" s="9" t="str">
        <f t="shared" ref="R25:R31" si="15">if("m"=K25,"X",if(or(countif(Cull!A:A,B:B)&gt;0,"X"= XLOOKUP(M:M,A:A,R:R)),"X",""))</f>
        <v>#REF!</v>
      </c>
      <c r="S25" s="9" t="s">
        <v>74</v>
      </c>
      <c r="T25" s="9"/>
      <c r="U25" s="9"/>
      <c r="V25" s="9"/>
      <c r="W25" s="9"/>
      <c r="X25" s="9"/>
      <c r="Y25" s="9"/>
      <c r="Z25" s="9"/>
      <c r="AA25" s="9"/>
      <c r="AB25" s="9" t="s">
        <v>75</v>
      </c>
      <c r="AC25" s="9" t="s">
        <v>76</v>
      </c>
      <c r="AD25" s="13"/>
      <c r="AE25" s="13"/>
      <c r="AF25" s="13"/>
      <c r="AG25" s="13"/>
      <c r="AH25" s="13"/>
      <c r="AI25" s="13"/>
      <c r="AJ25" s="13"/>
      <c r="AK25" s="13"/>
      <c r="AL25" s="13"/>
    </row>
    <row r="26">
      <c r="A26" s="29">
        <v>25.0</v>
      </c>
      <c r="B26" s="30">
        <v>26.0</v>
      </c>
      <c r="C26" s="29" t="s">
        <v>77</v>
      </c>
      <c r="D26" s="30"/>
      <c r="E26" s="29">
        <v>26.0</v>
      </c>
      <c r="F26" s="21">
        <v>43617.0</v>
      </c>
      <c r="G26" s="15">
        <v>200.0</v>
      </c>
      <c r="H26" s="14">
        <v>44520.0</v>
      </c>
      <c r="I26" s="15">
        <v>187.0</v>
      </c>
      <c r="J26" s="21">
        <v>43603.0</v>
      </c>
      <c r="K26" s="29" t="s">
        <v>31</v>
      </c>
      <c r="L26" s="30"/>
      <c r="M26" s="30"/>
      <c r="N26" s="13" t="str">
        <f t="shared" si="1"/>
        <v>#N/A</v>
      </c>
      <c r="O26" s="9">
        <f t="shared" si="2"/>
        <v>5</v>
      </c>
      <c r="P26" s="9">
        <f t="shared" si="5"/>
        <v>0</v>
      </c>
      <c r="Q26" s="9">
        <f t="shared" si="12"/>
        <v>1497</v>
      </c>
      <c r="R26" s="9" t="str">
        <f t="shared" si="15"/>
        <v>#REF!</v>
      </c>
      <c r="S26" s="29" t="s">
        <v>78</v>
      </c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29" t="s">
        <v>36</v>
      </c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</row>
    <row r="27">
      <c r="A27" s="9">
        <v>26.0</v>
      </c>
      <c r="B27" s="30">
        <v>27.0</v>
      </c>
      <c r="C27" s="9" t="s">
        <v>77</v>
      </c>
      <c r="D27" s="9">
        <v>1268.0</v>
      </c>
      <c r="E27" s="9">
        <v>27.0</v>
      </c>
      <c r="F27" s="10">
        <v>43617.0</v>
      </c>
      <c r="G27" s="11">
        <v>200.0</v>
      </c>
      <c r="H27" s="10">
        <v>45450.0</v>
      </c>
      <c r="I27" s="12"/>
      <c r="J27" s="10">
        <v>43603.0</v>
      </c>
      <c r="K27" s="9" t="s">
        <v>31</v>
      </c>
      <c r="L27" s="13"/>
      <c r="M27" s="13"/>
      <c r="N27" s="13" t="str">
        <f t="shared" si="1"/>
        <v>#N/A</v>
      </c>
      <c r="O27" s="9">
        <f t="shared" si="2"/>
        <v>6</v>
      </c>
      <c r="P27" s="9">
        <f t="shared" si="5"/>
        <v>0</v>
      </c>
      <c r="Q27" s="9">
        <f t="shared" si="12"/>
        <v>1519</v>
      </c>
      <c r="R27" s="9" t="str">
        <f t="shared" si="15"/>
        <v>#REF!</v>
      </c>
      <c r="S27" s="9" t="s">
        <v>79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9">
        <v>162.0</v>
      </c>
      <c r="AF27" s="13"/>
      <c r="AG27" s="13"/>
      <c r="AH27" s="13"/>
      <c r="AI27" s="13"/>
      <c r="AJ27" s="9" t="s">
        <v>43</v>
      </c>
      <c r="AK27" s="13"/>
      <c r="AL27" s="13"/>
    </row>
    <row r="28">
      <c r="A28" s="9">
        <v>27.0</v>
      </c>
      <c r="B28" s="30">
        <v>52.0</v>
      </c>
      <c r="C28" s="9" t="s">
        <v>77</v>
      </c>
      <c r="D28" s="13"/>
      <c r="E28" s="9">
        <v>52.0</v>
      </c>
      <c r="F28" s="10">
        <v>43617.0</v>
      </c>
      <c r="G28" s="11">
        <v>200.0</v>
      </c>
      <c r="H28" s="10">
        <v>44568.0</v>
      </c>
      <c r="I28" s="12"/>
      <c r="J28" s="10">
        <v>43603.0</v>
      </c>
      <c r="K28" s="9" t="s">
        <v>31</v>
      </c>
      <c r="L28" s="13"/>
      <c r="M28" s="13"/>
      <c r="N28" s="13" t="str">
        <f t="shared" si="1"/>
        <v>#N/A</v>
      </c>
      <c r="O28" s="9">
        <f t="shared" si="2"/>
        <v>6</v>
      </c>
      <c r="P28" s="9">
        <f t="shared" si="5"/>
        <v>0</v>
      </c>
      <c r="Q28" s="9">
        <f t="shared" si="12"/>
        <v>1520</v>
      </c>
      <c r="R28" s="9" t="str">
        <f t="shared" si="15"/>
        <v>#REF!</v>
      </c>
      <c r="S28" s="9" t="s">
        <v>80</v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9" t="s">
        <v>43</v>
      </c>
      <c r="AK28" s="13"/>
      <c r="AL28" s="13"/>
    </row>
    <row r="29">
      <c r="A29" s="9">
        <v>28.0</v>
      </c>
      <c r="B29" s="30">
        <v>32.0</v>
      </c>
      <c r="C29" s="9" t="s">
        <v>77</v>
      </c>
      <c r="D29" s="9">
        <v>1182.0</v>
      </c>
      <c r="E29" s="9">
        <v>32.0</v>
      </c>
      <c r="F29" s="10">
        <v>43617.0</v>
      </c>
      <c r="G29" s="11">
        <v>200.0</v>
      </c>
      <c r="H29" s="10">
        <v>45450.0</v>
      </c>
      <c r="I29" s="12"/>
      <c r="J29" s="10">
        <v>43603.0</v>
      </c>
      <c r="K29" s="9" t="s">
        <v>31</v>
      </c>
      <c r="L29" s="13"/>
      <c r="M29" s="13"/>
      <c r="N29" s="13" t="str">
        <f t="shared" si="1"/>
        <v>#N/A</v>
      </c>
      <c r="O29" s="9">
        <f t="shared" si="2"/>
        <v>13</v>
      </c>
      <c r="P29" s="9">
        <f t="shared" si="5"/>
        <v>0</v>
      </c>
      <c r="Q29" s="9">
        <f t="shared" si="12"/>
        <v>708</v>
      </c>
      <c r="R29" s="9" t="str">
        <f t="shared" si="15"/>
        <v>#REF!</v>
      </c>
      <c r="S29" s="9" t="s">
        <v>81</v>
      </c>
      <c r="T29" s="9"/>
      <c r="U29" s="9"/>
      <c r="V29" s="9"/>
      <c r="W29" s="9"/>
      <c r="X29" s="9"/>
      <c r="Y29" s="9"/>
      <c r="Z29" s="9"/>
      <c r="AA29" s="9" t="s">
        <v>46</v>
      </c>
      <c r="AB29" s="13"/>
      <c r="AC29" s="13"/>
      <c r="AD29" s="13"/>
      <c r="AE29" s="13"/>
      <c r="AF29" s="13"/>
      <c r="AG29" s="13"/>
      <c r="AH29" s="13"/>
      <c r="AI29" s="13"/>
      <c r="AJ29" s="9" t="s">
        <v>43</v>
      </c>
      <c r="AK29" s="13"/>
      <c r="AL29" s="13"/>
    </row>
    <row r="30">
      <c r="A30" s="9">
        <v>29.0</v>
      </c>
      <c r="B30" s="30">
        <v>30.0</v>
      </c>
      <c r="C30" s="9" t="s">
        <v>77</v>
      </c>
      <c r="D30" s="9">
        <v>1267.0</v>
      </c>
      <c r="E30" s="9">
        <v>30.0</v>
      </c>
      <c r="F30" s="10">
        <v>43617.0</v>
      </c>
      <c r="G30" s="11">
        <v>200.0</v>
      </c>
      <c r="H30" s="10">
        <v>45450.0</v>
      </c>
      <c r="I30" s="12"/>
      <c r="J30" s="10">
        <v>43603.0</v>
      </c>
      <c r="K30" s="9" t="s">
        <v>31</v>
      </c>
      <c r="L30" s="13"/>
      <c r="M30" s="13"/>
      <c r="N30" s="13" t="str">
        <f t="shared" si="1"/>
        <v>#N/A</v>
      </c>
      <c r="O30" s="9">
        <f t="shared" si="2"/>
        <v>8</v>
      </c>
      <c r="P30" s="9">
        <f t="shared" si="5"/>
        <v>0</v>
      </c>
      <c r="Q30" s="9">
        <f t="shared" si="12"/>
        <v>708</v>
      </c>
      <c r="R30" s="9" t="str">
        <f t="shared" si="15"/>
        <v>#REF!</v>
      </c>
      <c r="S30" s="9" t="s">
        <v>82</v>
      </c>
      <c r="T30" s="9"/>
      <c r="U30" s="9"/>
      <c r="V30" s="9"/>
      <c r="W30" s="9"/>
      <c r="X30" s="9"/>
      <c r="Y30" s="9"/>
      <c r="Z30" s="9"/>
      <c r="AA30" s="9" t="s">
        <v>39</v>
      </c>
      <c r="AB30" s="13"/>
      <c r="AC30" s="13"/>
      <c r="AD30" s="13"/>
      <c r="AE30" s="13"/>
      <c r="AF30" s="13"/>
      <c r="AG30" s="13"/>
      <c r="AH30" s="13"/>
      <c r="AI30" s="13"/>
      <c r="AJ30" s="9" t="s">
        <v>43</v>
      </c>
      <c r="AK30" s="13"/>
      <c r="AL30" s="13"/>
    </row>
    <row r="31">
      <c r="A31" s="9">
        <v>30.0</v>
      </c>
      <c r="B31" s="9">
        <v>1019.0</v>
      </c>
      <c r="C31" s="13"/>
      <c r="D31" s="9" t="s">
        <v>73</v>
      </c>
      <c r="E31" s="13"/>
      <c r="F31" s="10">
        <v>43669.0</v>
      </c>
      <c r="G31" s="12"/>
      <c r="H31" s="10">
        <v>44100.0</v>
      </c>
      <c r="I31" s="12">
        <f>1984/15</f>
        <v>132.2666667</v>
      </c>
      <c r="J31" s="10">
        <v>43669.0</v>
      </c>
      <c r="K31" s="9" t="s">
        <v>31</v>
      </c>
      <c r="L31" s="9">
        <v>6.0</v>
      </c>
      <c r="M31" s="9">
        <v>4.0</v>
      </c>
      <c r="N31" s="13" t="str">
        <f t="shared" si="1"/>
        <v>000002</v>
      </c>
      <c r="O31" s="9">
        <f t="shared" si="2"/>
        <v>0</v>
      </c>
      <c r="P31" s="9">
        <f t="shared" si="5"/>
        <v>0</v>
      </c>
      <c r="Q31" s="20">
        <f t="shared" si="12"/>
        <v>46012</v>
      </c>
      <c r="R31" s="9" t="str">
        <f t="shared" si="15"/>
        <v>#REF!</v>
      </c>
      <c r="S31" s="13"/>
      <c r="T31" s="9"/>
      <c r="U31" s="9"/>
      <c r="V31" s="9"/>
      <c r="W31" s="9"/>
      <c r="X31" s="9"/>
      <c r="Y31" s="9"/>
      <c r="Z31" s="9"/>
      <c r="AA31" s="9"/>
      <c r="AB31" s="9" t="s">
        <v>83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>
      <c r="A32" s="9">
        <v>31.0</v>
      </c>
      <c r="B32" s="9">
        <v>1001.0</v>
      </c>
      <c r="C32" s="9">
        <v>4.0</v>
      </c>
      <c r="D32" s="13"/>
      <c r="E32" s="13"/>
      <c r="F32" s="18"/>
      <c r="G32" s="12"/>
      <c r="H32" s="10">
        <v>43892.0</v>
      </c>
      <c r="I32" s="12"/>
      <c r="J32" s="10">
        <v>43830.0</v>
      </c>
      <c r="K32" s="9" t="s">
        <v>49</v>
      </c>
      <c r="L32" s="9">
        <v>20.0</v>
      </c>
      <c r="M32" s="9">
        <v>25.0</v>
      </c>
      <c r="N32" s="13">
        <f t="shared" si="1"/>
        <v>26</v>
      </c>
      <c r="O32" s="9">
        <f t="shared" si="2"/>
        <v>0</v>
      </c>
      <c r="P32" s="9">
        <f t="shared" si="5"/>
        <v>0</v>
      </c>
      <c r="Q32" s="20">
        <f t="shared" si="12"/>
        <v>46012</v>
      </c>
      <c r="R32" s="9" t="str">
        <f>if(if("m"=K32,true,countif(Cull!A:A,B:B)&gt;0),"X","")</f>
        <v>X</v>
      </c>
      <c r="S32" s="9" t="s">
        <v>84</v>
      </c>
      <c r="T32" s="9"/>
      <c r="U32" s="9"/>
      <c r="V32" s="9"/>
      <c r="W32" s="9"/>
      <c r="X32" s="9"/>
      <c r="Y32" s="9"/>
      <c r="Z32" s="9"/>
      <c r="AA32" s="9"/>
      <c r="AB32" s="9" t="s">
        <v>85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>
      <c r="A33" s="9">
        <v>32.0</v>
      </c>
      <c r="B33" s="9">
        <v>1005.0</v>
      </c>
      <c r="C33" s="9">
        <v>4.0</v>
      </c>
      <c r="D33" s="9" t="s">
        <v>86</v>
      </c>
      <c r="E33" s="9">
        <v>68024.0</v>
      </c>
      <c r="F33" s="18"/>
      <c r="G33" s="12"/>
      <c r="H33" s="10">
        <v>44100.0</v>
      </c>
      <c r="I33" s="12">
        <f>1984/15</f>
        <v>132.2666667</v>
      </c>
      <c r="J33" s="10">
        <v>43831.0</v>
      </c>
      <c r="K33" s="9" t="s">
        <v>49</v>
      </c>
      <c r="L33" s="9">
        <v>20.0</v>
      </c>
      <c r="M33" s="9">
        <v>28.0</v>
      </c>
      <c r="N33" s="13">
        <f t="shared" si="1"/>
        <v>32</v>
      </c>
      <c r="O33" s="9">
        <f t="shared" si="2"/>
        <v>0</v>
      </c>
      <c r="P33" s="9">
        <f t="shared" si="5"/>
        <v>0</v>
      </c>
      <c r="Q33" s="20">
        <f t="shared" si="12"/>
        <v>46012</v>
      </c>
      <c r="R33" s="9" t="str">
        <f t="array" ref="R33">if("m"=K33,"X",if(or(countif(Cull!A:A,B:B)&gt;0,"X"= XLOOKUP(M:M,A:A,R:R)),"X",""))</f>
        <v>X</v>
      </c>
      <c r="S33" s="9" t="s">
        <v>87</v>
      </c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>
      <c r="A34" s="9">
        <v>33.0</v>
      </c>
      <c r="B34" s="9">
        <v>1118.0</v>
      </c>
      <c r="C34" s="9">
        <v>4.0</v>
      </c>
      <c r="D34" s="9" t="s">
        <v>88</v>
      </c>
      <c r="E34" s="9">
        <v>68015.0</v>
      </c>
      <c r="F34" s="18"/>
      <c r="G34" s="12"/>
      <c r="H34" s="18"/>
      <c r="I34" s="12"/>
      <c r="J34" s="10">
        <v>43831.0</v>
      </c>
      <c r="K34" s="9" t="s">
        <v>31</v>
      </c>
      <c r="L34" s="9">
        <v>20.0</v>
      </c>
      <c r="M34" s="9">
        <v>28.0</v>
      </c>
      <c r="N34" s="13">
        <f t="shared" si="1"/>
        <v>32</v>
      </c>
      <c r="O34" s="9">
        <f t="shared" si="2"/>
        <v>7</v>
      </c>
      <c r="P34" s="9">
        <f t="shared" si="5"/>
        <v>2</v>
      </c>
      <c r="Q34" s="9">
        <f t="shared" si="12"/>
        <v>318</v>
      </c>
      <c r="R34" s="9" t="str">
        <f t="shared" ref="R34:R35" si="16">if(if("m"=K34,true,countif(Cull!A:A,B:B)&gt;0),"X","")</f>
        <v>#REF!</v>
      </c>
      <c r="S34" s="19" t="s">
        <v>84</v>
      </c>
      <c r="T34" s="9" t="s">
        <v>43</v>
      </c>
      <c r="U34" s="9"/>
      <c r="V34" s="9"/>
      <c r="W34" s="9" t="s">
        <v>43</v>
      </c>
      <c r="X34" s="9"/>
      <c r="Y34" s="9"/>
      <c r="Z34" s="9" t="s">
        <v>43</v>
      </c>
      <c r="AA34" s="9" t="s">
        <v>39</v>
      </c>
      <c r="AE34" s="9">
        <v>92.0</v>
      </c>
      <c r="AF34" s="9" t="s">
        <v>31</v>
      </c>
      <c r="AG34" s="9" t="s">
        <v>89</v>
      </c>
      <c r="AH34" s="13"/>
      <c r="AI34" s="13" t="str">
        <f t="shared" ref="AI34:AI35" si="17">IF(K34=AF34,"","X")</f>
        <v/>
      </c>
      <c r="AJ34" s="9" t="s">
        <v>43</v>
      </c>
    </row>
    <row r="35">
      <c r="A35" s="9">
        <v>34.0</v>
      </c>
      <c r="B35" s="9">
        <v>1376.0</v>
      </c>
      <c r="C35" s="9">
        <v>4.0</v>
      </c>
      <c r="D35" s="9" t="s">
        <v>88</v>
      </c>
      <c r="E35" s="9">
        <v>68005.0</v>
      </c>
      <c r="F35" s="18"/>
      <c r="G35" s="12"/>
      <c r="H35" s="18"/>
      <c r="I35" s="12"/>
      <c r="J35" s="10">
        <v>43835.0</v>
      </c>
      <c r="K35" s="9" t="s">
        <v>31</v>
      </c>
      <c r="L35" s="9">
        <v>20.0</v>
      </c>
      <c r="M35" s="9">
        <v>26.0</v>
      </c>
      <c r="N35" s="13">
        <f t="shared" si="1"/>
        <v>27</v>
      </c>
      <c r="O35" s="9">
        <f t="shared" si="2"/>
        <v>4</v>
      </c>
      <c r="P35" s="9">
        <f t="shared" si="5"/>
        <v>0</v>
      </c>
      <c r="Q35" s="9">
        <f t="shared" si="12"/>
        <v>46012</v>
      </c>
      <c r="R35" s="9" t="str">
        <f t="shared" si="16"/>
        <v>#REF!</v>
      </c>
      <c r="S35" s="19" t="s">
        <v>90</v>
      </c>
      <c r="T35" s="9" t="s">
        <v>91</v>
      </c>
      <c r="Z35" s="13"/>
      <c r="AA35" s="13"/>
      <c r="AE35" s="9">
        <v>90.0</v>
      </c>
      <c r="AF35" s="9" t="s">
        <v>31</v>
      </c>
      <c r="AG35" s="9" t="s">
        <v>92</v>
      </c>
      <c r="AH35" s="13"/>
      <c r="AI35" s="13" t="str">
        <f t="shared" si="17"/>
        <v/>
      </c>
      <c r="AJ35" s="9" t="s">
        <v>43</v>
      </c>
    </row>
    <row r="36">
      <c r="A36" s="9">
        <v>35.0</v>
      </c>
      <c r="B36" s="9">
        <v>1009.0</v>
      </c>
      <c r="C36" s="9">
        <v>4.0</v>
      </c>
      <c r="D36" s="13"/>
      <c r="E36" s="13"/>
      <c r="F36" s="18"/>
      <c r="G36" s="12"/>
      <c r="H36" s="10">
        <v>44100.0</v>
      </c>
      <c r="I36" s="12">
        <f t="shared" ref="I36:I39" si="18">1984/15</f>
        <v>132.2666667</v>
      </c>
      <c r="J36" s="10">
        <v>43835.0</v>
      </c>
      <c r="K36" s="9" t="s">
        <v>49</v>
      </c>
      <c r="L36" s="9">
        <v>20.0</v>
      </c>
      <c r="M36" s="9">
        <v>26.0</v>
      </c>
      <c r="N36" s="13">
        <f t="shared" si="1"/>
        <v>27</v>
      </c>
      <c r="O36" s="9">
        <f t="shared" si="2"/>
        <v>0</v>
      </c>
      <c r="P36" s="9">
        <f t="shared" si="5"/>
        <v>0</v>
      </c>
      <c r="Q36" s="20">
        <f t="shared" si="12"/>
        <v>46012</v>
      </c>
      <c r="R36" s="9" t="str">
        <f t="shared" ref="R36:R39" si="19">if("m"=K36,"X",if(or(countif(Cull!A:A,B:B)&gt;0,"X"= XLOOKUP(M:M,A:A,R:R)),"X",""))</f>
        <v>X</v>
      </c>
      <c r="S36" s="9" t="s">
        <v>93</v>
      </c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>
      <c r="A37" s="9">
        <v>36.0</v>
      </c>
      <c r="B37" s="9">
        <v>1002.0</v>
      </c>
      <c r="C37" s="9">
        <v>4.0</v>
      </c>
      <c r="D37" s="13"/>
      <c r="E37" s="13"/>
      <c r="F37" s="18"/>
      <c r="G37" s="12"/>
      <c r="H37" s="10">
        <v>44100.0</v>
      </c>
      <c r="I37" s="12">
        <f t="shared" si="18"/>
        <v>132.2666667</v>
      </c>
      <c r="J37" s="10">
        <v>43849.0</v>
      </c>
      <c r="K37" s="9" t="s">
        <v>49</v>
      </c>
      <c r="L37" s="9">
        <v>20.0</v>
      </c>
      <c r="M37" s="9">
        <v>29.0</v>
      </c>
      <c r="N37" s="13">
        <f t="shared" si="1"/>
        <v>30</v>
      </c>
      <c r="O37" s="9">
        <f t="shared" si="2"/>
        <v>0</v>
      </c>
      <c r="P37" s="9">
        <f t="shared" si="5"/>
        <v>0</v>
      </c>
      <c r="Q37" s="20">
        <f t="shared" si="12"/>
        <v>46012</v>
      </c>
      <c r="R37" s="9" t="str">
        <f t="shared" si="19"/>
        <v>X</v>
      </c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>
      <c r="A38" s="9">
        <v>37.0</v>
      </c>
      <c r="B38" s="9">
        <v>1003.0</v>
      </c>
      <c r="C38" s="9">
        <v>4.0</v>
      </c>
      <c r="D38" s="13"/>
      <c r="E38" s="13"/>
      <c r="F38" s="18"/>
      <c r="G38" s="12"/>
      <c r="H38" s="10">
        <v>44100.0</v>
      </c>
      <c r="I38" s="12">
        <f t="shared" si="18"/>
        <v>132.2666667</v>
      </c>
      <c r="J38" s="10">
        <v>43849.0</v>
      </c>
      <c r="K38" s="9" t="s">
        <v>49</v>
      </c>
      <c r="L38" s="9">
        <v>20.0</v>
      </c>
      <c r="M38" s="9">
        <v>29.0</v>
      </c>
      <c r="N38" s="13">
        <f t="shared" si="1"/>
        <v>30</v>
      </c>
      <c r="O38" s="9">
        <f t="shared" si="2"/>
        <v>0</v>
      </c>
      <c r="P38" s="9">
        <f t="shared" si="5"/>
        <v>0</v>
      </c>
      <c r="Q38" s="20">
        <f t="shared" si="12"/>
        <v>46012</v>
      </c>
      <c r="R38" s="9" t="str">
        <f t="shared" si="19"/>
        <v>X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>
      <c r="A39" s="9">
        <v>38.0</v>
      </c>
      <c r="B39" s="9">
        <v>1011.0</v>
      </c>
      <c r="C39" s="9">
        <v>4.0</v>
      </c>
      <c r="D39" s="13"/>
      <c r="E39" s="13"/>
      <c r="F39" s="18"/>
      <c r="G39" s="12"/>
      <c r="H39" s="10">
        <v>44100.0</v>
      </c>
      <c r="I39" s="12">
        <f t="shared" si="18"/>
        <v>132.2666667</v>
      </c>
      <c r="J39" s="10">
        <v>43851.0</v>
      </c>
      <c r="K39" s="9" t="s">
        <v>49</v>
      </c>
      <c r="L39" s="9">
        <v>20.0</v>
      </c>
      <c r="M39" s="9">
        <v>10.0</v>
      </c>
      <c r="N39" s="13">
        <f t="shared" si="1"/>
        <v>1006</v>
      </c>
      <c r="O39" s="9">
        <f t="shared" si="2"/>
        <v>0</v>
      </c>
      <c r="P39" s="9">
        <f t="shared" si="5"/>
        <v>0</v>
      </c>
      <c r="Q39" s="20">
        <f t="shared" si="12"/>
        <v>46012</v>
      </c>
      <c r="R39" s="9" t="str">
        <f t="shared" si="19"/>
        <v>X</v>
      </c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>
      <c r="A40" s="9">
        <v>39.0</v>
      </c>
      <c r="B40" s="9">
        <v>1049.0</v>
      </c>
      <c r="C40" s="9">
        <v>4.0</v>
      </c>
      <c r="F40" s="18"/>
      <c r="G40" s="12"/>
      <c r="I40" s="12"/>
      <c r="J40" s="10">
        <v>43851.0</v>
      </c>
      <c r="K40" s="9" t="s">
        <v>31</v>
      </c>
      <c r="L40" s="9">
        <v>20.0</v>
      </c>
      <c r="M40" s="9">
        <v>9.0</v>
      </c>
      <c r="N40" s="13" t="str">
        <f t="shared" si="1"/>
        <v>000017</v>
      </c>
      <c r="O40" s="9">
        <f t="shared" si="2"/>
        <v>1</v>
      </c>
      <c r="P40" s="9">
        <f t="shared" si="5"/>
        <v>0</v>
      </c>
      <c r="Q40" s="9">
        <f t="shared" si="12"/>
        <v>1730</v>
      </c>
      <c r="R40" s="9" t="str">
        <f>if(if("m"=K40,true,countif(Cull!A:A,B:B)&gt;0),"X","")</f>
        <v>#REF!</v>
      </c>
      <c r="S40" s="28"/>
      <c r="Z40" s="13"/>
      <c r="AA40" s="13"/>
      <c r="AE40" s="9">
        <v>118.0</v>
      </c>
      <c r="AF40" s="9" t="s">
        <v>31</v>
      </c>
      <c r="AG40" s="13"/>
      <c r="AH40" s="13"/>
      <c r="AI40" s="13" t="str">
        <f>IF(K40=AF40,"","X")</f>
        <v/>
      </c>
      <c r="AJ40" s="9" t="s">
        <v>43</v>
      </c>
    </row>
    <row r="41">
      <c r="A41" s="9">
        <v>40.0</v>
      </c>
      <c r="B41" s="9">
        <v>1007.0</v>
      </c>
      <c r="C41" s="9">
        <v>4.0</v>
      </c>
      <c r="D41" s="13"/>
      <c r="E41" s="13"/>
      <c r="F41" s="18"/>
      <c r="G41" s="12"/>
      <c r="H41" s="10">
        <v>44100.0</v>
      </c>
      <c r="I41" s="12">
        <f t="shared" ref="I41:I43" si="20">1984/15</f>
        <v>132.2666667</v>
      </c>
      <c r="J41" s="10">
        <v>43852.0</v>
      </c>
      <c r="K41" s="9" t="s">
        <v>49</v>
      </c>
      <c r="L41" s="9">
        <v>20.0</v>
      </c>
      <c r="M41" s="9">
        <v>3.0</v>
      </c>
      <c r="N41" s="13">
        <f t="shared" si="1"/>
        <v>255</v>
      </c>
      <c r="O41" s="9">
        <f t="shared" si="2"/>
        <v>0</v>
      </c>
      <c r="P41" s="9">
        <f t="shared" si="5"/>
        <v>0</v>
      </c>
      <c r="Q41" s="20">
        <f t="shared" si="12"/>
        <v>46012</v>
      </c>
      <c r="R41" s="9" t="str">
        <f t="shared" ref="R41:R43" si="21">if("m"=K41,"X",if(or(countif(Cull!A:A,B:B)&gt;0,"X"= XLOOKUP(M:M,A:A,R:R)),"X",""))</f>
        <v>X</v>
      </c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>
      <c r="A42" s="9">
        <v>41.0</v>
      </c>
      <c r="B42" s="9">
        <v>1008.0</v>
      </c>
      <c r="C42" s="9">
        <v>4.0</v>
      </c>
      <c r="D42" s="13"/>
      <c r="E42" s="9">
        <v>68034.0</v>
      </c>
      <c r="F42" s="18"/>
      <c r="G42" s="12"/>
      <c r="H42" s="10">
        <v>44100.0</v>
      </c>
      <c r="I42" s="12">
        <f t="shared" si="20"/>
        <v>132.2666667</v>
      </c>
      <c r="J42" s="10">
        <v>43852.0</v>
      </c>
      <c r="K42" s="9" t="s">
        <v>49</v>
      </c>
      <c r="L42" s="9">
        <v>20.0</v>
      </c>
      <c r="M42" s="9">
        <v>3.0</v>
      </c>
      <c r="N42" s="13">
        <f t="shared" si="1"/>
        <v>255</v>
      </c>
      <c r="O42" s="9">
        <f t="shared" si="2"/>
        <v>0</v>
      </c>
      <c r="P42" s="9">
        <f t="shared" si="5"/>
        <v>0</v>
      </c>
      <c r="Q42" s="20">
        <f t="shared" si="12"/>
        <v>46012</v>
      </c>
      <c r="R42" s="9" t="str">
        <f t="shared" si="21"/>
        <v>X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>
      <c r="A43" s="9">
        <v>42.0</v>
      </c>
      <c r="B43" s="9">
        <v>1012.0</v>
      </c>
      <c r="C43" s="9">
        <v>4.0</v>
      </c>
      <c r="D43" s="13"/>
      <c r="E43" s="13"/>
      <c r="F43" s="18"/>
      <c r="G43" s="12"/>
      <c r="H43" s="10">
        <v>44100.0</v>
      </c>
      <c r="I43" s="12">
        <f t="shared" si="20"/>
        <v>132.2666667</v>
      </c>
      <c r="J43" s="10">
        <v>43853.0</v>
      </c>
      <c r="K43" s="9" t="s">
        <v>49</v>
      </c>
      <c r="L43" s="9">
        <v>20.0</v>
      </c>
      <c r="M43" s="9">
        <v>2.0</v>
      </c>
      <c r="N43" s="13">
        <f t="shared" si="1"/>
        <v>258</v>
      </c>
      <c r="O43" s="9">
        <f t="shared" si="2"/>
        <v>0</v>
      </c>
      <c r="P43" s="9">
        <f t="shared" si="5"/>
        <v>0</v>
      </c>
      <c r="Q43" s="20">
        <f t="shared" si="12"/>
        <v>46012</v>
      </c>
      <c r="R43" s="9" t="str">
        <f t="shared" si="21"/>
        <v>X</v>
      </c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>
      <c r="A44" s="9">
        <v>43.0</v>
      </c>
      <c r="B44" s="9">
        <v>1015.0</v>
      </c>
      <c r="C44" s="9">
        <v>4.0</v>
      </c>
      <c r="F44" s="18"/>
      <c r="G44" s="12"/>
      <c r="H44" s="18"/>
      <c r="I44" s="12"/>
      <c r="J44" s="10">
        <v>43862.0</v>
      </c>
      <c r="K44" s="9" t="s">
        <v>31</v>
      </c>
      <c r="L44" s="9">
        <v>20.0</v>
      </c>
      <c r="M44" s="9">
        <v>12.0</v>
      </c>
      <c r="N44" s="13" t="str">
        <f t="shared" si="1"/>
        <v>000018</v>
      </c>
      <c r="O44" s="9">
        <f t="shared" si="2"/>
        <v>3</v>
      </c>
      <c r="P44" s="9">
        <f t="shared" si="5"/>
        <v>0</v>
      </c>
      <c r="Q44" s="9">
        <f t="shared" si="12"/>
        <v>46012</v>
      </c>
      <c r="R44" s="9" t="str">
        <f>if(if("m"=K44,true,countif(Cull!A:A,B:B)&gt;0),"X","")</f>
        <v>#REF!</v>
      </c>
      <c r="S44" s="28"/>
      <c r="Z44" s="13"/>
      <c r="AA44" s="13"/>
      <c r="AE44" s="9">
        <v>112.0</v>
      </c>
      <c r="AF44" s="9" t="s">
        <v>31</v>
      </c>
      <c r="AG44" s="13"/>
      <c r="AH44" s="13"/>
      <c r="AI44" s="13" t="str">
        <f>IF(K44=AF44,"","X")</f>
        <v/>
      </c>
      <c r="AJ44" s="9" t="s">
        <v>43</v>
      </c>
    </row>
    <row r="45">
      <c r="A45" s="9">
        <v>44.0</v>
      </c>
      <c r="B45" s="9">
        <v>1016.0</v>
      </c>
      <c r="C45" s="9">
        <v>4.0</v>
      </c>
      <c r="D45" s="13"/>
      <c r="E45" s="13"/>
      <c r="F45" s="18"/>
      <c r="G45" s="12"/>
      <c r="H45" s="10">
        <v>44100.0</v>
      </c>
      <c r="I45" s="12">
        <f>1984/15</f>
        <v>132.2666667</v>
      </c>
      <c r="J45" s="10">
        <v>43862.0</v>
      </c>
      <c r="K45" s="9" t="s">
        <v>49</v>
      </c>
      <c r="L45" s="9">
        <v>20.0</v>
      </c>
      <c r="M45" s="9">
        <v>27.0</v>
      </c>
      <c r="N45" s="13">
        <f t="shared" si="1"/>
        <v>52</v>
      </c>
      <c r="O45" s="9">
        <f t="shared" si="2"/>
        <v>0</v>
      </c>
      <c r="P45" s="9">
        <f t="shared" si="5"/>
        <v>0</v>
      </c>
      <c r="Q45" s="20">
        <f t="shared" si="12"/>
        <v>46012</v>
      </c>
      <c r="R45" s="9" t="str">
        <f t="array" ref="R45">if("m"=K45,"X",if(or(countif(Cull!A:A,B:B)&gt;0,"X"= XLOOKUP(M:M,A:A,R:R)),"X",""))</f>
        <v>X</v>
      </c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>
      <c r="A46" s="9">
        <v>45.0</v>
      </c>
      <c r="B46" s="9">
        <v>1017.0</v>
      </c>
      <c r="C46" s="9">
        <v>4.0</v>
      </c>
      <c r="F46" s="18"/>
      <c r="G46" s="12"/>
      <c r="H46" s="18"/>
      <c r="I46" s="12"/>
      <c r="J46" s="10">
        <v>43862.0</v>
      </c>
      <c r="K46" s="9" t="s">
        <v>31</v>
      </c>
      <c r="L46" s="9">
        <v>20.0</v>
      </c>
      <c r="M46" s="9">
        <v>1.0</v>
      </c>
      <c r="N46" s="13">
        <f t="shared" si="1"/>
        <v>257</v>
      </c>
      <c r="O46" s="9">
        <f t="shared" si="2"/>
        <v>2</v>
      </c>
      <c r="P46" s="9">
        <f t="shared" si="5"/>
        <v>0</v>
      </c>
      <c r="Q46" s="9">
        <f t="shared" si="12"/>
        <v>1720</v>
      </c>
      <c r="R46" s="9" t="str">
        <f>if(if("m"=K46,true,countif(Cull!A:A,B:B)&gt;0),"X","")</f>
        <v>#REF!</v>
      </c>
      <c r="S46" s="28"/>
      <c r="Z46" s="13"/>
      <c r="AA46" s="13"/>
      <c r="AE46" s="9">
        <v>110.0</v>
      </c>
      <c r="AF46" s="9" t="s">
        <v>31</v>
      </c>
      <c r="AG46" s="13"/>
      <c r="AH46" s="13"/>
      <c r="AI46" s="13" t="str">
        <f>IF(K46=AF46,"","X")</f>
        <v/>
      </c>
      <c r="AJ46" s="9" t="s">
        <v>43</v>
      </c>
    </row>
    <row r="47">
      <c r="A47" s="9">
        <v>46.0</v>
      </c>
      <c r="B47" s="9">
        <v>1018.0</v>
      </c>
      <c r="C47" s="9">
        <v>4.0</v>
      </c>
      <c r="D47" s="13"/>
      <c r="E47" s="13"/>
      <c r="F47" s="18"/>
      <c r="G47" s="12"/>
      <c r="H47" s="10">
        <v>44100.0</v>
      </c>
      <c r="I47" s="12">
        <f t="shared" ref="I47:I51" si="22">1984/15</f>
        <v>132.2666667</v>
      </c>
      <c r="J47" s="10">
        <v>43862.0</v>
      </c>
      <c r="K47" s="9" t="s">
        <v>49</v>
      </c>
      <c r="L47" s="9">
        <v>20.0</v>
      </c>
      <c r="M47" s="9">
        <v>27.0</v>
      </c>
      <c r="N47" s="13">
        <f t="shared" si="1"/>
        <v>52</v>
      </c>
      <c r="O47" s="9">
        <f t="shared" si="2"/>
        <v>0</v>
      </c>
      <c r="P47" s="9">
        <f t="shared" si="5"/>
        <v>0</v>
      </c>
      <c r="Q47" s="20">
        <f t="shared" si="12"/>
        <v>46012</v>
      </c>
      <c r="R47" s="9" t="str">
        <f t="shared" ref="R47:R51" si="23">if("m"=K47,"X",if(or(countif(Cull!A:A,B:B)&gt;0,"X"= XLOOKUP(M:M,A:A,R:R)),"X",""))</f>
        <v>X</v>
      </c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>
      <c r="A48" s="9">
        <v>47.0</v>
      </c>
      <c r="B48" s="9">
        <v>1021.0</v>
      </c>
      <c r="C48" s="9">
        <v>4.0</v>
      </c>
      <c r="D48" s="13"/>
      <c r="E48" s="13"/>
      <c r="F48" s="18"/>
      <c r="G48" s="12"/>
      <c r="H48" s="10">
        <v>44100.0</v>
      </c>
      <c r="I48" s="12">
        <f t="shared" si="22"/>
        <v>132.2666667</v>
      </c>
      <c r="J48" s="10">
        <v>43892.0</v>
      </c>
      <c r="K48" s="9" t="s">
        <v>49</v>
      </c>
      <c r="L48" s="9">
        <v>20.0</v>
      </c>
      <c r="M48" s="9">
        <v>15.0</v>
      </c>
      <c r="N48" s="13" t="str">
        <f t="shared" si="1"/>
        <v>000015</v>
      </c>
      <c r="O48" s="9">
        <f t="shared" si="2"/>
        <v>0</v>
      </c>
      <c r="P48" s="9">
        <f t="shared" si="5"/>
        <v>0</v>
      </c>
      <c r="Q48" s="20">
        <f t="shared" si="12"/>
        <v>46012</v>
      </c>
      <c r="R48" s="9" t="str">
        <f t="shared" si="23"/>
        <v>X</v>
      </c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</row>
    <row r="49">
      <c r="A49" s="9">
        <v>48.0</v>
      </c>
      <c r="B49" s="9">
        <v>1022.0</v>
      </c>
      <c r="C49" s="13"/>
      <c r="D49" s="13"/>
      <c r="E49" s="13"/>
      <c r="F49" s="18"/>
      <c r="G49" s="12"/>
      <c r="H49" s="10">
        <v>44100.0</v>
      </c>
      <c r="I49" s="12">
        <f t="shared" si="22"/>
        <v>132.2666667</v>
      </c>
      <c r="J49" s="10">
        <v>43927.0</v>
      </c>
      <c r="K49" s="9" t="s">
        <v>31</v>
      </c>
      <c r="L49" s="9">
        <v>20.0</v>
      </c>
      <c r="M49" s="9">
        <v>19.0</v>
      </c>
      <c r="N49" s="13" t="str">
        <f t="shared" si="1"/>
        <v>000008</v>
      </c>
      <c r="O49" s="9">
        <f t="shared" si="2"/>
        <v>0</v>
      </c>
      <c r="P49" s="9">
        <f t="shared" si="5"/>
        <v>0</v>
      </c>
      <c r="Q49" s="20">
        <f t="shared" si="12"/>
        <v>46012</v>
      </c>
      <c r="R49" s="9" t="str">
        <f t="shared" si="23"/>
        <v>#REF!</v>
      </c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>
      <c r="A50" s="9">
        <v>49.0</v>
      </c>
      <c r="B50" s="9">
        <v>1023.0</v>
      </c>
      <c r="C50" s="13"/>
      <c r="D50" s="13"/>
      <c r="E50" s="13"/>
      <c r="F50" s="18"/>
      <c r="G50" s="12"/>
      <c r="H50" s="10">
        <v>44100.0</v>
      </c>
      <c r="I50" s="12">
        <f t="shared" si="22"/>
        <v>132.2666667</v>
      </c>
      <c r="J50" s="10">
        <v>43934.0</v>
      </c>
      <c r="K50" s="9" t="s">
        <v>31</v>
      </c>
      <c r="L50" s="9">
        <v>20.0</v>
      </c>
      <c r="M50" s="9">
        <v>22.0</v>
      </c>
      <c r="N50" s="13" t="str">
        <f t="shared" si="1"/>
        <v>000010</v>
      </c>
      <c r="O50" s="9">
        <f t="shared" si="2"/>
        <v>0</v>
      </c>
      <c r="P50" s="9">
        <f t="shared" si="5"/>
        <v>0</v>
      </c>
      <c r="Q50" s="20">
        <f t="shared" si="12"/>
        <v>46012</v>
      </c>
      <c r="R50" s="9" t="str">
        <f t="shared" si="23"/>
        <v>#REF!</v>
      </c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</row>
    <row r="51">
      <c r="A51" s="9">
        <v>50.0</v>
      </c>
      <c r="B51" s="9">
        <v>1020.0</v>
      </c>
      <c r="C51" s="13"/>
      <c r="D51" s="13"/>
      <c r="E51" s="13"/>
      <c r="F51" s="18"/>
      <c r="G51" s="12"/>
      <c r="H51" s="10">
        <v>44100.0</v>
      </c>
      <c r="I51" s="12">
        <f t="shared" si="22"/>
        <v>132.2666667</v>
      </c>
      <c r="J51" s="10">
        <v>43936.0</v>
      </c>
      <c r="K51" s="9" t="s">
        <v>31</v>
      </c>
      <c r="L51" s="9">
        <v>20.0</v>
      </c>
      <c r="M51" s="9" t="s">
        <v>94</v>
      </c>
      <c r="N51" s="13" t="str">
        <f t="shared" si="1"/>
        <v>#N/A</v>
      </c>
      <c r="O51" s="9">
        <f t="shared" si="2"/>
        <v>0</v>
      </c>
      <c r="P51" s="9">
        <f t="shared" si="5"/>
        <v>0</v>
      </c>
      <c r="Q51" s="20">
        <f t="shared" si="12"/>
        <v>46012</v>
      </c>
      <c r="R51" s="9" t="str">
        <f t="shared" si="23"/>
        <v>#REF!</v>
      </c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</row>
    <row r="52">
      <c r="A52" s="9">
        <v>51.0</v>
      </c>
      <c r="B52" s="9">
        <v>1035.0</v>
      </c>
      <c r="C52" s="13"/>
      <c r="D52" s="13"/>
      <c r="E52" s="13"/>
      <c r="F52" s="18"/>
      <c r="G52" s="12"/>
      <c r="H52" s="10">
        <v>44501.0</v>
      </c>
      <c r="I52" s="12"/>
      <c r="J52" s="10">
        <v>44144.0</v>
      </c>
      <c r="K52" s="9" t="s">
        <v>49</v>
      </c>
      <c r="L52" s="9">
        <v>20.0</v>
      </c>
      <c r="M52" s="9">
        <v>26.0</v>
      </c>
      <c r="N52" s="13">
        <f t="shared" si="1"/>
        <v>27</v>
      </c>
      <c r="O52" s="9">
        <f t="shared" si="2"/>
        <v>0</v>
      </c>
      <c r="P52" s="9">
        <f t="shared" si="5"/>
        <v>0</v>
      </c>
      <c r="Q52" s="20">
        <f t="shared" si="12"/>
        <v>46012</v>
      </c>
      <c r="R52" s="9" t="str">
        <f>if(if("m"=K52,true,countif(Cull!A:A,B:B)&gt;0),"X","")</f>
        <v>X</v>
      </c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9" t="s">
        <v>95</v>
      </c>
      <c r="AG52" s="13"/>
      <c r="AH52" s="13"/>
      <c r="AI52" s="13" t="str">
        <f t="shared" ref="AI52:AI56" si="24">IF(K52=AF52,"","X")</f>
        <v>X</v>
      </c>
      <c r="AJ52" s="13"/>
      <c r="AK52" s="13"/>
      <c r="AL52" s="13"/>
    </row>
    <row r="53">
      <c r="A53" s="9">
        <v>52.0</v>
      </c>
      <c r="B53" s="9">
        <v>1029.0</v>
      </c>
      <c r="C53" s="13"/>
      <c r="D53" s="13"/>
      <c r="E53" s="13"/>
      <c r="F53" s="18"/>
      <c r="G53" s="12"/>
      <c r="H53" s="10">
        <v>44520.0</v>
      </c>
      <c r="I53" s="11">
        <v>161.0</v>
      </c>
      <c r="J53" s="10">
        <v>44144.0</v>
      </c>
      <c r="K53" s="9" t="s">
        <v>49</v>
      </c>
      <c r="L53" s="9">
        <v>20.0</v>
      </c>
      <c r="M53" s="9">
        <v>26.0</v>
      </c>
      <c r="N53" s="13">
        <f t="shared" si="1"/>
        <v>27</v>
      </c>
      <c r="O53" s="9">
        <f t="shared" si="2"/>
        <v>0</v>
      </c>
      <c r="P53" s="9">
        <f t="shared" si="5"/>
        <v>0</v>
      </c>
      <c r="Q53" s="20">
        <f t="shared" si="12"/>
        <v>46012</v>
      </c>
      <c r="R53" s="9" t="str">
        <f t="shared" ref="R53:R54" si="25">if("m"=K53,"X",if(or(countif(Cull!A:A,B:B)&gt;0,"X"= XLOOKUP(M:M,A:A,R:R)),"X",""))</f>
        <v>X</v>
      </c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9">
        <v>80.0</v>
      </c>
      <c r="AF53" s="9" t="s">
        <v>49</v>
      </c>
      <c r="AG53" s="9">
        <v>80.0</v>
      </c>
      <c r="AH53" s="9" t="s">
        <v>36</v>
      </c>
      <c r="AI53" s="13" t="str">
        <f t="shared" si="24"/>
        <v/>
      </c>
      <c r="AJ53" s="13"/>
      <c r="AK53" s="13"/>
      <c r="AL53" s="13"/>
    </row>
    <row r="54">
      <c r="A54" s="9">
        <v>53.0</v>
      </c>
      <c r="B54" s="9">
        <v>1024.0</v>
      </c>
      <c r="C54" s="13"/>
      <c r="D54" s="13"/>
      <c r="E54" s="13"/>
      <c r="F54" s="18"/>
      <c r="G54" s="12"/>
      <c r="H54" s="10">
        <v>44556.0</v>
      </c>
      <c r="I54" s="12"/>
      <c r="J54" s="10">
        <v>44145.0</v>
      </c>
      <c r="K54" s="9" t="s">
        <v>31</v>
      </c>
      <c r="L54" s="9">
        <v>20.0</v>
      </c>
      <c r="M54" s="9">
        <v>2.0</v>
      </c>
      <c r="N54" s="13">
        <f t="shared" si="1"/>
        <v>258</v>
      </c>
      <c r="O54" s="9">
        <f t="shared" si="2"/>
        <v>0</v>
      </c>
      <c r="P54" s="9">
        <f t="shared" si="5"/>
        <v>0</v>
      </c>
      <c r="Q54" s="20">
        <f t="shared" si="12"/>
        <v>46012</v>
      </c>
      <c r="R54" s="9" t="str">
        <f t="shared" si="25"/>
        <v>#REF!</v>
      </c>
      <c r="S54" s="9" t="s">
        <v>96</v>
      </c>
      <c r="T54" s="9"/>
      <c r="U54" s="9"/>
      <c r="V54" s="9"/>
      <c r="W54" s="9"/>
      <c r="X54" s="9"/>
      <c r="Y54" s="9"/>
      <c r="Z54" s="9"/>
      <c r="AA54" s="9"/>
      <c r="AB54" s="9" t="s">
        <v>97</v>
      </c>
      <c r="AC54" s="13"/>
      <c r="AD54" s="13"/>
      <c r="AE54" s="9">
        <v>80.0</v>
      </c>
      <c r="AF54" s="9" t="s">
        <v>31</v>
      </c>
      <c r="AG54" s="13"/>
      <c r="AH54" s="13"/>
      <c r="AI54" s="13" t="str">
        <f t="shared" si="24"/>
        <v/>
      </c>
      <c r="AJ54" s="13"/>
      <c r="AK54" s="13"/>
      <c r="AL54" s="13"/>
    </row>
    <row r="55">
      <c r="A55" s="9">
        <v>54.0</v>
      </c>
      <c r="B55" s="9">
        <v>1025.0</v>
      </c>
      <c r="C55" s="13"/>
      <c r="F55" s="18"/>
      <c r="G55" s="12"/>
      <c r="H55" s="18"/>
      <c r="I55" s="12"/>
      <c r="J55" s="10">
        <v>44145.0</v>
      </c>
      <c r="K55" s="9" t="s">
        <v>31</v>
      </c>
      <c r="L55" s="9">
        <v>20.0</v>
      </c>
      <c r="M55" s="9">
        <v>2.0</v>
      </c>
      <c r="N55" s="13">
        <f t="shared" si="1"/>
        <v>258</v>
      </c>
      <c r="O55" s="9">
        <f t="shared" si="2"/>
        <v>0</v>
      </c>
      <c r="P55" s="9">
        <f t="shared" si="5"/>
        <v>0</v>
      </c>
      <c r="Q55" s="20">
        <f t="shared" si="12"/>
        <v>46012</v>
      </c>
      <c r="R55" s="9" t="str">
        <f t="shared" ref="R55:R57" si="26">if(if("m"=K55,true,countif(Cull!A:A,B:B)&gt;0),"X","")</f>
        <v>#REF!</v>
      </c>
      <c r="S55" s="19" t="s">
        <v>96</v>
      </c>
      <c r="T55" s="9"/>
      <c r="U55" s="9"/>
      <c r="V55" s="9"/>
      <c r="W55" s="9"/>
      <c r="X55" s="9"/>
      <c r="Y55" s="9"/>
      <c r="Z55" s="9"/>
      <c r="AA55" s="9"/>
      <c r="AB55" s="9" t="s">
        <v>98</v>
      </c>
      <c r="AE55" s="9">
        <v>82.0</v>
      </c>
      <c r="AF55" s="9" t="s">
        <v>31</v>
      </c>
      <c r="AG55" s="13"/>
      <c r="AH55" s="13"/>
      <c r="AI55" s="13" t="str">
        <f t="shared" si="24"/>
        <v/>
      </c>
      <c r="AJ55" s="9" t="s">
        <v>43</v>
      </c>
    </row>
    <row r="56">
      <c r="A56" s="9">
        <v>55.0</v>
      </c>
      <c r="B56" s="9">
        <v>1028.0</v>
      </c>
      <c r="C56" s="13"/>
      <c r="F56" s="18"/>
      <c r="G56" s="12"/>
      <c r="H56" s="18"/>
      <c r="I56" s="12"/>
      <c r="J56" s="10">
        <v>44178.0</v>
      </c>
      <c r="K56" s="9" t="s">
        <v>31</v>
      </c>
      <c r="L56" s="9">
        <v>20.0</v>
      </c>
      <c r="M56" s="9">
        <v>4.0</v>
      </c>
      <c r="N56" s="13" t="str">
        <f t="shared" si="1"/>
        <v>000002</v>
      </c>
      <c r="O56" s="9">
        <f t="shared" si="2"/>
        <v>0</v>
      </c>
      <c r="P56" s="9">
        <f t="shared" si="5"/>
        <v>0</v>
      </c>
      <c r="Q56" s="20">
        <f t="shared" si="12"/>
        <v>46012</v>
      </c>
      <c r="R56" s="9" t="str">
        <f t="shared" si="26"/>
        <v>#REF!</v>
      </c>
      <c r="S56" s="28"/>
      <c r="Z56" s="13"/>
      <c r="AA56" s="13"/>
      <c r="AE56" s="9">
        <v>84.0</v>
      </c>
      <c r="AF56" s="9" t="s">
        <v>31</v>
      </c>
      <c r="AG56" s="13"/>
      <c r="AH56" s="13"/>
      <c r="AI56" s="13" t="str">
        <f t="shared" si="24"/>
        <v/>
      </c>
      <c r="AJ56" s="9" t="s">
        <v>43</v>
      </c>
    </row>
    <row r="57">
      <c r="A57" s="9">
        <v>56.0</v>
      </c>
      <c r="B57" s="9">
        <v>1030.0</v>
      </c>
      <c r="C57" s="13"/>
      <c r="D57" s="13"/>
      <c r="E57" s="13"/>
      <c r="F57" s="18"/>
      <c r="G57" s="12"/>
      <c r="H57" s="10">
        <v>44504.0</v>
      </c>
      <c r="I57" s="12"/>
      <c r="J57" s="10">
        <v>44175.0</v>
      </c>
      <c r="K57" s="9" t="s">
        <v>49</v>
      </c>
      <c r="L57" s="9">
        <v>20.0</v>
      </c>
      <c r="M57" s="9">
        <v>27.0</v>
      </c>
      <c r="N57" s="13">
        <f t="shared" si="1"/>
        <v>52</v>
      </c>
      <c r="O57" s="9">
        <f t="shared" si="2"/>
        <v>0</v>
      </c>
      <c r="P57" s="9">
        <f t="shared" si="5"/>
        <v>0</v>
      </c>
      <c r="Q57" s="20">
        <f t="shared" si="12"/>
        <v>46012</v>
      </c>
      <c r="R57" s="9" t="str">
        <f t="shared" si="26"/>
        <v>X</v>
      </c>
      <c r="S57" s="9" t="s">
        <v>99</v>
      </c>
      <c r="T57" s="9"/>
      <c r="U57" s="9"/>
      <c r="V57" s="9"/>
      <c r="W57" s="9"/>
      <c r="X57" s="9"/>
      <c r="Y57" s="9"/>
      <c r="Z57" s="9"/>
      <c r="AA57" s="9"/>
      <c r="AB57" s="9" t="s">
        <v>100</v>
      </c>
      <c r="AC57" s="13"/>
      <c r="AD57" s="13"/>
      <c r="AE57" s="13"/>
      <c r="AF57" s="13"/>
      <c r="AG57" s="13"/>
      <c r="AH57" s="13"/>
      <c r="AI57" s="13"/>
      <c r="AJ57" s="13"/>
      <c r="AK57" s="13"/>
      <c r="AL57" s="13"/>
    </row>
    <row r="58">
      <c r="A58" s="9">
        <v>57.0</v>
      </c>
      <c r="B58" s="13"/>
      <c r="C58" s="13"/>
      <c r="D58" s="13"/>
      <c r="E58" s="13"/>
      <c r="F58" s="18"/>
      <c r="G58" s="12"/>
      <c r="H58" s="10">
        <v>44503.0</v>
      </c>
      <c r="I58" s="12"/>
      <c r="J58" s="10">
        <v>44175.0</v>
      </c>
      <c r="K58" s="9" t="s">
        <v>31</v>
      </c>
      <c r="L58" s="9">
        <v>20.0</v>
      </c>
      <c r="M58" s="9">
        <v>27.0</v>
      </c>
      <c r="N58" s="13">
        <f t="shared" si="1"/>
        <v>52</v>
      </c>
      <c r="O58" s="9">
        <f t="shared" si="2"/>
        <v>0</v>
      </c>
      <c r="P58" s="9">
        <f t="shared" si="5"/>
        <v>0</v>
      </c>
      <c r="Q58" s="9"/>
      <c r="R58" s="9" t="str">
        <f t="array" ref="R58">if("m"=K58,"X",if(or(countif(Cull!A:A,B:B)&gt;0,"X"= XLOOKUP(M:M,A:A,R:R)),"X",""))</f>
        <v>#REF!</v>
      </c>
      <c r="S58" s="9" t="s">
        <v>101</v>
      </c>
      <c r="T58" s="9"/>
      <c r="U58" s="9"/>
      <c r="V58" s="9"/>
      <c r="W58" s="9"/>
      <c r="X58" s="9"/>
      <c r="Y58" s="9"/>
      <c r="Z58" s="9"/>
      <c r="AA58" s="9"/>
      <c r="AB58" s="9" t="s">
        <v>102</v>
      </c>
      <c r="AC58" s="13"/>
      <c r="AD58" s="13"/>
      <c r="AE58" s="13"/>
      <c r="AF58" s="13"/>
      <c r="AG58" s="13"/>
      <c r="AH58" s="13"/>
      <c r="AI58" s="13"/>
      <c r="AJ58" s="13"/>
      <c r="AK58" s="13"/>
      <c r="AL58" s="13"/>
    </row>
    <row r="59">
      <c r="A59" s="9">
        <v>58.0</v>
      </c>
      <c r="B59" s="9">
        <v>1026.0</v>
      </c>
      <c r="C59" s="13"/>
      <c r="F59" s="18"/>
      <c r="G59" s="12"/>
      <c r="H59" s="18"/>
      <c r="I59" s="12"/>
      <c r="J59" s="14">
        <v>44182.0</v>
      </c>
      <c r="K59" s="9" t="s">
        <v>31</v>
      </c>
      <c r="L59" s="9">
        <v>20.0</v>
      </c>
      <c r="M59" s="9">
        <v>3.0</v>
      </c>
      <c r="N59" s="13">
        <f t="shared" si="1"/>
        <v>255</v>
      </c>
      <c r="O59" s="9">
        <f t="shared" si="2"/>
        <v>0</v>
      </c>
      <c r="P59" s="9">
        <f t="shared" si="5"/>
        <v>0</v>
      </c>
      <c r="Q59" s="20">
        <f t="shared" ref="Q59:Q87" si="27">today()-xlookup(A59,M:M,J:J,"",0,-1)</f>
        <v>46012</v>
      </c>
      <c r="R59" s="9" t="str">
        <f t="shared" ref="R59:R61" si="28">if(if("m"=K59,true,countif(Cull!A:A,B:B)&gt;0),"X","")</f>
        <v>#REF!</v>
      </c>
      <c r="S59" s="28"/>
      <c r="Z59" s="13"/>
      <c r="AA59" s="13"/>
      <c r="AE59" s="9">
        <v>78.0</v>
      </c>
      <c r="AF59" s="9" t="s">
        <v>31</v>
      </c>
      <c r="AG59" s="13"/>
      <c r="AH59" s="13"/>
      <c r="AI59" s="13" t="str">
        <f t="shared" ref="AI59:AI68" si="29">IF(K59=AF59,"","X")</f>
        <v/>
      </c>
      <c r="AJ59" s="9" t="s">
        <v>43</v>
      </c>
    </row>
    <row r="60">
      <c r="A60" s="9">
        <v>59.0</v>
      </c>
      <c r="B60" s="9">
        <v>1027.0</v>
      </c>
      <c r="C60" s="13"/>
      <c r="F60" s="18"/>
      <c r="G60" s="12"/>
      <c r="H60" s="18"/>
      <c r="I60" s="12"/>
      <c r="J60" s="14">
        <v>44182.0</v>
      </c>
      <c r="K60" s="9" t="s">
        <v>31</v>
      </c>
      <c r="L60" s="9">
        <v>20.0</v>
      </c>
      <c r="M60" s="9">
        <v>3.0</v>
      </c>
      <c r="N60" s="13">
        <f t="shared" si="1"/>
        <v>255</v>
      </c>
      <c r="O60" s="9">
        <f t="shared" si="2"/>
        <v>1</v>
      </c>
      <c r="P60" s="9">
        <f t="shared" si="5"/>
        <v>0</v>
      </c>
      <c r="Q60" s="9">
        <f t="shared" si="27"/>
        <v>1423</v>
      </c>
      <c r="R60" s="9" t="str">
        <f t="shared" si="28"/>
        <v>#REF!</v>
      </c>
      <c r="S60" s="28"/>
      <c r="Z60" s="13"/>
      <c r="AA60" s="13"/>
      <c r="AF60" s="9" t="s">
        <v>94</v>
      </c>
      <c r="AG60" s="13"/>
      <c r="AH60" s="13"/>
      <c r="AI60" s="13" t="str">
        <f t="shared" si="29"/>
        <v>X</v>
      </c>
      <c r="AJ60" s="9" t="s">
        <v>43</v>
      </c>
    </row>
    <row r="61">
      <c r="A61" s="9">
        <v>60.0</v>
      </c>
      <c r="B61" s="9">
        <v>1033.0</v>
      </c>
      <c r="C61" s="13"/>
      <c r="D61" s="13"/>
      <c r="E61" s="13"/>
      <c r="F61" s="18"/>
      <c r="G61" s="12"/>
      <c r="H61" s="10">
        <v>44501.0</v>
      </c>
      <c r="I61" s="12"/>
      <c r="J61" s="14">
        <v>44182.0</v>
      </c>
      <c r="K61" s="9" t="s">
        <v>49</v>
      </c>
      <c r="L61" s="9">
        <v>20.0</v>
      </c>
      <c r="M61" s="9">
        <v>28.0</v>
      </c>
      <c r="N61" s="13">
        <f t="shared" si="1"/>
        <v>32</v>
      </c>
      <c r="O61" s="9">
        <f t="shared" si="2"/>
        <v>0</v>
      </c>
      <c r="P61" s="9">
        <f t="shared" si="5"/>
        <v>0</v>
      </c>
      <c r="Q61" s="20">
        <f t="shared" si="27"/>
        <v>46012</v>
      </c>
      <c r="R61" s="9" t="str">
        <f t="shared" si="28"/>
        <v>X</v>
      </c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9" t="s">
        <v>95</v>
      </c>
      <c r="AG61" s="13"/>
      <c r="AH61" s="13"/>
      <c r="AI61" s="13" t="str">
        <f t="shared" si="29"/>
        <v>X</v>
      </c>
      <c r="AJ61" s="13"/>
      <c r="AK61" s="13"/>
      <c r="AL61" s="13"/>
    </row>
    <row r="62">
      <c r="A62" s="9">
        <v>61.0</v>
      </c>
      <c r="B62" s="9">
        <v>1034.0</v>
      </c>
      <c r="C62" s="13"/>
      <c r="D62" s="13"/>
      <c r="E62" s="13"/>
      <c r="F62" s="18"/>
      <c r="G62" s="12"/>
      <c r="H62" s="10">
        <v>44520.0</v>
      </c>
      <c r="I62" s="11">
        <v>161.0</v>
      </c>
      <c r="J62" s="14">
        <v>44182.0</v>
      </c>
      <c r="K62" s="9" t="s">
        <v>49</v>
      </c>
      <c r="L62" s="9">
        <v>20.0</v>
      </c>
      <c r="M62" s="9">
        <v>28.0</v>
      </c>
      <c r="N62" s="13">
        <f t="shared" si="1"/>
        <v>32</v>
      </c>
      <c r="O62" s="9">
        <f t="shared" si="2"/>
        <v>0</v>
      </c>
      <c r="P62" s="9">
        <f t="shared" si="5"/>
        <v>0</v>
      </c>
      <c r="Q62" s="20">
        <f t="shared" si="27"/>
        <v>46012</v>
      </c>
      <c r="R62" s="9" t="str">
        <f t="array" ref="R62">if("m"=K62,"X",if(or(countif(Cull!A:A,B:B)&gt;0,"X"= XLOOKUP(M:M,A:A,R:R)),"X",""))</f>
        <v>X</v>
      </c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9">
        <v>75.0</v>
      </c>
      <c r="AF62" s="9" t="s">
        <v>49</v>
      </c>
      <c r="AG62" s="13"/>
      <c r="AH62" s="9" t="s">
        <v>36</v>
      </c>
      <c r="AI62" s="13" t="str">
        <f t="shared" si="29"/>
        <v/>
      </c>
      <c r="AJ62" s="13"/>
      <c r="AK62" s="13"/>
      <c r="AL62" s="13"/>
    </row>
    <row r="63">
      <c r="A63" s="9">
        <v>62.0</v>
      </c>
      <c r="B63" s="9">
        <v>1031.0</v>
      </c>
      <c r="C63" s="13"/>
      <c r="D63" s="13"/>
      <c r="E63" s="13"/>
      <c r="F63" s="18"/>
      <c r="G63" s="12"/>
      <c r="H63" s="10">
        <v>44501.0</v>
      </c>
      <c r="I63" s="12"/>
      <c r="J63" s="10">
        <v>44194.0</v>
      </c>
      <c r="K63" s="9" t="s">
        <v>49</v>
      </c>
      <c r="L63" s="9">
        <v>20.0</v>
      </c>
      <c r="M63" s="9">
        <v>9.0</v>
      </c>
      <c r="N63" s="13" t="str">
        <f t="shared" si="1"/>
        <v>000017</v>
      </c>
      <c r="O63" s="9">
        <f t="shared" si="2"/>
        <v>0</v>
      </c>
      <c r="P63" s="9">
        <f t="shared" si="5"/>
        <v>0</v>
      </c>
      <c r="Q63" s="20">
        <f t="shared" si="27"/>
        <v>46012</v>
      </c>
      <c r="R63" s="9" t="str">
        <f>if(if("m"=K63,true,countif(Cull!A:A,B:B)&gt;0),"X","")</f>
        <v>X</v>
      </c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9">
        <v>70.0</v>
      </c>
      <c r="AF63" s="9" t="s">
        <v>95</v>
      </c>
      <c r="AG63" s="13"/>
      <c r="AH63" s="13"/>
      <c r="AI63" s="13" t="str">
        <f t="shared" si="29"/>
        <v>X</v>
      </c>
      <c r="AJ63" s="13"/>
      <c r="AK63" s="13"/>
      <c r="AL63" s="13"/>
    </row>
    <row r="64">
      <c r="A64" s="9">
        <v>63.0</v>
      </c>
      <c r="B64" s="9">
        <v>1032.0</v>
      </c>
      <c r="C64" s="13"/>
      <c r="D64" s="13"/>
      <c r="E64" s="13"/>
      <c r="F64" s="18"/>
      <c r="G64" s="12"/>
      <c r="H64" s="10">
        <v>44520.0</v>
      </c>
      <c r="I64" s="11">
        <v>161.0</v>
      </c>
      <c r="J64" s="10">
        <v>44194.0</v>
      </c>
      <c r="K64" s="9" t="s">
        <v>49</v>
      </c>
      <c r="L64" s="9">
        <v>20.0</v>
      </c>
      <c r="M64" s="9">
        <v>23.0</v>
      </c>
      <c r="N64" s="13" t="str">
        <f t="shared" si="1"/>
        <v>000014</v>
      </c>
      <c r="O64" s="9">
        <f t="shared" si="2"/>
        <v>0</v>
      </c>
      <c r="P64" s="9">
        <f t="shared" si="5"/>
        <v>0</v>
      </c>
      <c r="Q64" s="20">
        <f t="shared" si="27"/>
        <v>46012</v>
      </c>
      <c r="R64" s="9" t="str">
        <f t="shared" ref="R64:R67" si="30">if("m"=K64,"X",if(or(countif(Cull!A:A,B:B)&gt;0,"X"= XLOOKUP(M:M,A:A,R:R)),"X",""))</f>
        <v>X</v>
      </c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9">
        <v>75.0</v>
      </c>
      <c r="AF64" s="9" t="s">
        <v>49</v>
      </c>
      <c r="AG64" s="9">
        <v>75.0</v>
      </c>
      <c r="AH64" s="9" t="s">
        <v>36</v>
      </c>
      <c r="AI64" s="13" t="str">
        <f t="shared" si="29"/>
        <v/>
      </c>
      <c r="AJ64" s="13"/>
      <c r="AK64" s="13"/>
      <c r="AL64" s="13"/>
    </row>
    <row r="65">
      <c r="A65" s="9">
        <v>64.0</v>
      </c>
      <c r="B65" s="9">
        <v>1039.0</v>
      </c>
      <c r="C65" s="13"/>
      <c r="D65" s="13"/>
      <c r="E65" s="13"/>
      <c r="F65" s="18"/>
      <c r="G65" s="12"/>
      <c r="H65" s="22" t="s">
        <v>103</v>
      </c>
      <c r="I65" s="12"/>
      <c r="J65" s="10">
        <v>44194.0</v>
      </c>
      <c r="K65" s="9" t="s">
        <v>31</v>
      </c>
      <c r="L65" s="9">
        <v>20.0</v>
      </c>
      <c r="M65" s="9">
        <v>29.0</v>
      </c>
      <c r="N65" s="13">
        <f t="shared" si="1"/>
        <v>30</v>
      </c>
      <c r="O65" s="9">
        <f t="shared" si="2"/>
        <v>0</v>
      </c>
      <c r="P65" s="9">
        <f t="shared" si="5"/>
        <v>0</v>
      </c>
      <c r="Q65" s="20">
        <f t="shared" si="27"/>
        <v>46012</v>
      </c>
      <c r="R65" s="9" t="str">
        <f t="shared" si="30"/>
        <v>#REF!</v>
      </c>
      <c r="S65" s="9"/>
      <c r="T65" s="9"/>
      <c r="U65" s="9"/>
      <c r="V65" s="9"/>
      <c r="W65" s="9"/>
      <c r="X65" s="9"/>
      <c r="Y65" s="9"/>
      <c r="Z65" s="9"/>
      <c r="AA65" s="9"/>
      <c r="AB65" s="9"/>
      <c r="AC65" s="13"/>
      <c r="AD65" s="13"/>
      <c r="AE65" s="9">
        <v>70.0</v>
      </c>
      <c r="AF65" s="9" t="s">
        <v>31</v>
      </c>
      <c r="AG65" s="13"/>
      <c r="AH65" s="9" t="s">
        <v>104</v>
      </c>
      <c r="AI65" s="13" t="str">
        <f t="shared" si="29"/>
        <v/>
      </c>
      <c r="AJ65" s="9" t="s">
        <v>43</v>
      </c>
      <c r="AK65" s="13"/>
      <c r="AL65" s="13"/>
    </row>
    <row r="66">
      <c r="A66" s="9">
        <v>65.0</v>
      </c>
      <c r="B66" s="9">
        <v>1040.0</v>
      </c>
      <c r="C66" s="13"/>
      <c r="D66" s="13"/>
      <c r="E66" s="13"/>
      <c r="F66" s="18"/>
      <c r="G66" s="12"/>
      <c r="H66" s="10">
        <v>44520.0</v>
      </c>
      <c r="I66" s="11">
        <v>161.0</v>
      </c>
      <c r="J66" s="10">
        <v>44194.0</v>
      </c>
      <c r="K66" s="9" t="s">
        <v>49</v>
      </c>
      <c r="L66" s="9">
        <v>20.0</v>
      </c>
      <c r="M66" s="9">
        <v>29.0</v>
      </c>
      <c r="N66" s="13">
        <f t="shared" si="1"/>
        <v>30</v>
      </c>
      <c r="O66" s="9">
        <f t="shared" si="2"/>
        <v>0</v>
      </c>
      <c r="P66" s="9">
        <f t="shared" si="5"/>
        <v>0</v>
      </c>
      <c r="Q66" s="20">
        <f t="shared" si="27"/>
        <v>46012</v>
      </c>
      <c r="R66" s="9" t="str">
        <f t="shared" si="30"/>
        <v>X</v>
      </c>
      <c r="S66" s="9"/>
      <c r="T66" s="9"/>
      <c r="U66" s="9"/>
      <c r="V66" s="9"/>
      <c r="W66" s="9"/>
      <c r="X66" s="9"/>
      <c r="Y66" s="9"/>
      <c r="Z66" s="9"/>
      <c r="AA66" s="9"/>
      <c r="AB66" s="9"/>
      <c r="AC66" s="13"/>
      <c r="AD66" s="13"/>
      <c r="AE66" s="9">
        <v>79.0</v>
      </c>
      <c r="AF66" s="9" t="s">
        <v>49</v>
      </c>
      <c r="AG66" s="9">
        <v>70.0</v>
      </c>
      <c r="AH66" s="9" t="s">
        <v>36</v>
      </c>
      <c r="AI66" s="13" t="str">
        <f t="shared" si="29"/>
        <v/>
      </c>
      <c r="AJ66" s="13"/>
      <c r="AK66" s="13"/>
      <c r="AL66" s="13"/>
    </row>
    <row r="67">
      <c r="A67" s="9">
        <v>66.0</v>
      </c>
      <c r="B67" s="9">
        <v>1041.0</v>
      </c>
      <c r="C67" s="13"/>
      <c r="D67" s="13"/>
      <c r="E67" s="13"/>
      <c r="F67" s="18"/>
      <c r="G67" s="12"/>
      <c r="H67" s="10">
        <v>44520.0</v>
      </c>
      <c r="I67" s="11">
        <v>130.0</v>
      </c>
      <c r="J67" s="10">
        <v>44200.0</v>
      </c>
      <c r="K67" s="9" t="s">
        <v>49</v>
      </c>
      <c r="L67" s="9">
        <v>20.0</v>
      </c>
      <c r="M67" s="9">
        <v>25.0</v>
      </c>
      <c r="N67" s="13">
        <f t="shared" si="1"/>
        <v>26</v>
      </c>
      <c r="O67" s="9">
        <f t="shared" si="2"/>
        <v>0</v>
      </c>
      <c r="P67" s="9">
        <f t="shared" si="5"/>
        <v>0</v>
      </c>
      <c r="Q67" s="20">
        <f t="shared" si="27"/>
        <v>46012</v>
      </c>
      <c r="R67" s="9" t="str">
        <f t="shared" si="30"/>
        <v>X</v>
      </c>
      <c r="S67" s="9" t="s">
        <v>96</v>
      </c>
      <c r="T67" s="9"/>
      <c r="U67" s="9"/>
      <c r="V67" s="9"/>
      <c r="W67" s="9"/>
      <c r="X67" s="9"/>
      <c r="Y67" s="9"/>
      <c r="Z67" s="9"/>
      <c r="AA67" s="9"/>
      <c r="AB67" s="9" t="s">
        <v>105</v>
      </c>
      <c r="AC67" s="13"/>
      <c r="AD67" s="13"/>
      <c r="AE67" s="9" t="s">
        <v>106</v>
      </c>
      <c r="AF67" s="9" t="s">
        <v>49</v>
      </c>
      <c r="AG67" s="13"/>
      <c r="AH67" s="9" t="s">
        <v>36</v>
      </c>
      <c r="AI67" s="13" t="str">
        <f t="shared" si="29"/>
        <v/>
      </c>
      <c r="AJ67" s="13"/>
      <c r="AK67" s="13"/>
      <c r="AL67" s="13"/>
    </row>
    <row r="68">
      <c r="A68" s="9">
        <v>67.0</v>
      </c>
      <c r="B68" s="9">
        <v>1042.0</v>
      </c>
      <c r="C68" s="13"/>
      <c r="F68" s="18"/>
      <c r="G68" s="12"/>
      <c r="H68" s="18"/>
      <c r="I68" s="12"/>
      <c r="J68" s="10">
        <v>44200.0</v>
      </c>
      <c r="K68" s="9" t="s">
        <v>31</v>
      </c>
      <c r="L68" s="9">
        <v>20.0</v>
      </c>
      <c r="M68" s="9">
        <v>25.0</v>
      </c>
      <c r="N68" s="13">
        <f t="shared" si="1"/>
        <v>26</v>
      </c>
      <c r="O68" s="9">
        <f t="shared" si="2"/>
        <v>3</v>
      </c>
      <c r="P68" s="9">
        <f t="shared" si="5"/>
        <v>2</v>
      </c>
      <c r="Q68" s="9">
        <f t="shared" si="27"/>
        <v>340</v>
      </c>
      <c r="R68" s="9" t="str">
        <f>if(if("m"=K68,true,countif(Cull!A:A,B:B)&gt;0),"X","")</f>
        <v>#REF!</v>
      </c>
      <c r="S68" s="19" t="s">
        <v>96</v>
      </c>
      <c r="T68" s="9"/>
      <c r="U68" s="9"/>
      <c r="V68" s="9"/>
      <c r="W68" s="9" t="s">
        <v>43</v>
      </c>
      <c r="X68" s="9"/>
      <c r="Y68" s="9"/>
      <c r="Z68" s="9" t="s">
        <v>43</v>
      </c>
      <c r="AA68" s="9" t="s">
        <v>39</v>
      </c>
      <c r="AB68" s="9" t="s">
        <v>107</v>
      </c>
      <c r="AE68" s="9">
        <v>70.0</v>
      </c>
      <c r="AF68" s="9" t="s">
        <v>31</v>
      </c>
      <c r="AG68" s="13"/>
      <c r="AH68" s="9" t="s">
        <v>104</v>
      </c>
      <c r="AI68" s="13" t="str">
        <f t="shared" si="29"/>
        <v/>
      </c>
      <c r="AJ68" s="9" t="s">
        <v>43</v>
      </c>
    </row>
    <row r="69">
      <c r="A69" s="9">
        <v>68.0</v>
      </c>
      <c r="B69" s="9">
        <v>1044.0</v>
      </c>
      <c r="C69" s="13"/>
      <c r="D69" s="13"/>
      <c r="E69" s="13"/>
      <c r="F69" s="18"/>
      <c r="G69" s="12"/>
      <c r="H69" s="10">
        <v>44520.0</v>
      </c>
      <c r="I69" s="11">
        <v>161.0</v>
      </c>
      <c r="J69" s="10">
        <v>44200.0</v>
      </c>
      <c r="K69" s="9" t="s">
        <v>31</v>
      </c>
      <c r="L69" s="9">
        <v>20.0</v>
      </c>
      <c r="M69" s="9">
        <v>25.0</v>
      </c>
      <c r="N69" s="13">
        <f t="shared" si="1"/>
        <v>26</v>
      </c>
      <c r="O69" s="9">
        <f t="shared" si="2"/>
        <v>0</v>
      </c>
      <c r="P69" s="9">
        <f t="shared" si="5"/>
        <v>0</v>
      </c>
      <c r="Q69" s="20">
        <f t="shared" si="27"/>
        <v>46012</v>
      </c>
      <c r="R69" s="9" t="str">
        <f t="array" ref="R69">if("m"=K69,"X",if(or(countif(Cull!A:A,B:B)&gt;0,"X"= XLOOKUP(M:M,A:A,R:R)),"X",""))</f>
        <v>#REF!</v>
      </c>
      <c r="S69" s="9" t="s">
        <v>96</v>
      </c>
      <c r="T69" s="9"/>
      <c r="U69" s="9"/>
      <c r="V69" s="9"/>
      <c r="W69" s="9"/>
      <c r="X69" s="9"/>
      <c r="Y69" s="9"/>
      <c r="Z69" s="9"/>
      <c r="AA69" s="9"/>
      <c r="AB69" s="9" t="s">
        <v>108</v>
      </c>
      <c r="AC69" s="13"/>
      <c r="AD69" s="13"/>
      <c r="AE69" s="9">
        <v>82.0</v>
      </c>
      <c r="AF69" s="9" t="s">
        <v>49</v>
      </c>
      <c r="AG69" s="13"/>
      <c r="AH69" s="9" t="s">
        <v>36</v>
      </c>
      <c r="AI69" s="13"/>
      <c r="AJ69" s="13"/>
      <c r="AK69" s="13"/>
      <c r="AL69" s="13"/>
    </row>
    <row r="70">
      <c r="A70" s="9">
        <v>69.0</v>
      </c>
      <c r="B70" s="9">
        <v>1036.0</v>
      </c>
      <c r="C70" s="13"/>
      <c r="D70" s="13"/>
      <c r="E70" s="13"/>
      <c r="F70" s="18"/>
      <c r="G70" s="12"/>
      <c r="H70" s="10">
        <v>44501.0</v>
      </c>
      <c r="I70" s="12"/>
      <c r="J70" s="10">
        <v>44200.0</v>
      </c>
      <c r="K70" s="9" t="s">
        <v>49</v>
      </c>
      <c r="L70" s="9">
        <v>20.0</v>
      </c>
      <c r="M70" s="9">
        <v>10.0</v>
      </c>
      <c r="N70" s="13">
        <f t="shared" si="1"/>
        <v>1006</v>
      </c>
      <c r="O70" s="9">
        <f t="shared" si="2"/>
        <v>0</v>
      </c>
      <c r="P70" s="9">
        <f t="shared" si="5"/>
        <v>0</v>
      </c>
      <c r="Q70" s="20">
        <f t="shared" si="27"/>
        <v>46012</v>
      </c>
      <c r="R70" s="9" t="str">
        <f>if(if("m"=K70,true,countif(Cull!A:A,B:B)&gt;0),"X","")</f>
        <v>X</v>
      </c>
      <c r="S70" s="9" t="s">
        <v>96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9" t="s">
        <v>95</v>
      </c>
      <c r="AG70" s="13"/>
      <c r="AH70" s="13"/>
      <c r="AI70" s="13" t="str">
        <f t="shared" ref="AI70:AI81" si="31">IF(K70=AF70,"","X")</f>
        <v>X</v>
      </c>
      <c r="AJ70" s="13"/>
      <c r="AK70" s="13"/>
      <c r="AL70" s="13"/>
    </row>
    <row r="71">
      <c r="A71" s="9">
        <v>70.0</v>
      </c>
      <c r="B71" s="9">
        <v>1043.0</v>
      </c>
      <c r="C71" s="13"/>
      <c r="D71" s="13"/>
      <c r="E71" s="13"/>
      <c r="F71" s="18"/>
      <c r="G71" s="12"/>
      <c r="H71" s="9" t="s">
        <v>103</v>
      </c>
      <c r="I71" s="12"/>
      <c r="J71" s="10">
        <v>44200.0</v>
      </c>
      <c r="K71" s="9" t="s">
        <v>31</v>
      </c>
      <c r="L71" s="9">
        <v>20.0</v>
      </c>
      <c r="M71" s="9">
        <v>10.0</v>
      </c>
      <c r="N71" s="13">
        <f t="shared" si="1"/>
        <v>1006</v>
      </c>
      <c r="O71" s="9">
        <f t="shared" si="2"/>
        <v>0</v>
      </c>
      <c r="P71" s="9">
        <f t="shared" si="5"/>
        <v>0</v>
      </c>
      <c r="Q71" s="20">
        <f t="shared" si="27"/>
        <v>46012</v>
      </c>
      <c r="R71" s="9" t="str">
        <f t="shared" ref="R71:R72" si="32">if("m"=K71,"X",if(or(countif(Cull!A:A,B:B)&gt;0,"X"= XLOOKUP(M:M,A:A,R:R)),"X",""))</f>
        <v>#REF!</v>
      </c>
      <c r="S71" s="13"/>
      <c r="T71" s="13"/>
      <c r="U71" s="13"/>
      <c r="V71" s="13"/>
      <c r="W71" s="13"/>
      <c r="X71" s="13"/>
      <c r="Y71" s="13"/>
      <c r="Z71" s="13"/>
      <c r="AA71" s="13"/>
      <c r="AB71" s="9" t="s">
        <v>109</v>
      </c>
      <c r="AC71" s="13"/>
      <c r="AD71" s="13"/>
      <c r="AE71" s="9">
        <v>62.0</v>
      </c>
      <c r="AF71" s="9" t="s">
        <v>31</v>
      </c>
      <c r="AG71" s="13"/>
      <c r="AH71" s="9" t="s">
        <v>104</v>
      </c>
      <c r="AI71" s="13" t="str">
        <f t="shared" si="31"/>
        <v/>
      </c>
      <c r="AJ71" s="9" t="s">
        <v>43</v>
      </c>
      <c r="AK71" s="13"/>
      <c r="AL71" s="13"/>
    </row>
    <row r="72">
      <c r="A72" s="9">
        <v>71.0</v>
      </c>
      <c r="B72" s="9">
        <v>1038.0</v>
      </c>
      <c r="C72" s="13"/>
      <c r="D72" s="13"/>
      <c r="E72" s="13"/>
      <c r="F72" s="18"/>
      <c r="G72" s="12"/>
      <c r="H72" s="10">
        <v>44520.0</v>
      </c>
      <c r="I72" s="11">
        <v>161.0</v>
      </c>
      <c r="J72" s="10">
        <v>44204.0</v>
      </c>
      <c r="K72" s="9" t="s">
        <v>49</v>
      </c>
      <c r="L72" s="9">
        <v>20.0</v>
      </c>
      <c r="M72" s="9">
        <v>12.0</v>
      </c>
      <c r="N72" s="13" t="str">
        <f t="shared" si="1"/>
        <v>000018</v>
      </c>
      <c r="O72" s="9">
        <f t="shared" si="2"/>
        <v>0</v>
      </c>
      <c r="P72" s="9">
        <f t="shared" si="5"/>
        <v>0</v>
      </c>
      <c r="Q72" s="20">
        <f t="shared" si="27"/>
        <v>46012</v>
      </c>
      <c r="R72" s="9" t="str">
        <f t="shared" si="32"/>
        <v>X</v>
      </c>
      <c r="S72" s="9" t="s">
        <v>110</v>
      </c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9">
        <v>70.0</v>
      </c>
      <c r="AF72" s="9" t="s">
        <v>49</v>
      </c>
      <c r="AG72" s="9">
        <v>70.0</v>
      </c>
      <c r="AH72" s="9" t="s">
        <v>36</v>
      </c>
      <c r="AI72" s="13" t="str">
        <f t="shared" si="31"/>
        <v/>
      </c>
      <c r="AJ72" s="13"/>
      <c r="AK72" s="13"/>
      <c r="AL72" s="13"/>
    </row>
    <row r="73">
      <c r="A73" s="9">
        <v>72.0</v>
      </c>
      <c r="B73" s="9">
        <v>1037.0</v>
      </c>
      <c r="C73" s="13"/>
      <c r="D73" s="13"/>
      <c r="E73" s="13"/>
      <c r="F73" s="18"/>
      <c r="G73" s="12"/>
      <c r="H73" s="10">
        <v>44501.0</v>
      </c>
      <c r="I73" s="12"/>
      <c r="J73" s="10">
        <v>44204.0</v>
      </c>
      <c r="K73" s="9" t="s">
        <v>49</v>
      </c>
      <c r="L73" s="9">
        <v>20.0</v>
      </c>
      <c r="M73" s="9">
        <v>15.0</v>
      </c>
      <c r="N73" s="13" t="str">
        <f t="shared" si="1"/>
        <v>000015</v>
      </c>
      <c r="O73" s="9">
        <f t="shared" si="2"/>
        <v>0</v>
      </c>
      <c r="P73" s="9">
        <f t="shared" si="5"/>
        <v>0</v>
      </c>
      <c r="Q73" s="20">
        <f t="shared" si="27"/>
        <v>46012</v>
      </c>
      <c r="R73" s="9" t="str">
        <f>if(if("m"=K73,true,countif(Cull!A:A,B:B)&gt;0),"X","")</f>
        <v>X</v>
      </c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9">
        <v>85.0</v>
      </c>
      <c r="AF73" s="9" t="s">
        <v>95</v>
      </c>
      <c r="AG73" s="13"/>
      <c r="AH73" s="13"/>
      <c r="AI73" s="13" t="str">
        <f t="shared" si="31"/>
        <v>X</v>
      </c>
      <c r="AJ73" s="13"/>
      <c r="AK73" s="13"/>
      <c r="AL73" s="13"/>
    </row>
    <row r="74">
      <c r="A74" s="9">
        <v>73.0</v>
      </c>
      <c r="B74" s="9">
        <v>1052.0</v>
      </c>
      <c r="C74" s="13"/>
      <c r="D74" s="13"/>
      <c r="E74" s="13"/>
      <c r="F74" s="13"/>
      <c r="G74" s="13"/>
      <c r="H74" s="10">
        <v>44520.0</v>
      </c>
      <c r="I74" s="11">
        <v>161.0</v>
      </c>
      <c r="J74" s="31">
        <v>44281.0</v>
      </c>
      <c r="K74" s="9" t="s">
        <v>49</v>
      </c>
      <c r="L74" s="9">
        <v>20.0</v>
      </c>
      <c r="M74" s="9">
        <v>33.0</v>
      </c>
      <c r="N74" s="13">
        <f t="shared" si="1"/>
        <v>1118</v>
      </c>
      <c r="O74" s="9">
        <f t="shared" si="2"/>
        <v>0</v>
      </c>
      <c r="P74" s="9">
        <f t="shared" si="5"/>
        <v>0</v>
      </c>
      <c r="Q74" s="20">
        <f t="shared" si="27"/>
        <v>46012</v>
      </c>
      <c r="R74" s="9" t="str">
        <f t="array" ref="R74">if("m"=K74,"X",if(or(countif(Cull!A:A,B:B)&gt;0,"X"= XLOOKUP(M:M,A:A,R:R)),"X",""))</f>
        <v>X</v>
      </c>
      <c r="S74" s="9" t="s">
        <v>37</v>
      </c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9">
        <v>62.0</v>
      </c>
      <c r="AF74" s="9" t="s">
        <v>49</v>
      </c>
      <c r="AG74" s="13"/>
      <c r="AH74" s="9" t="s">
        <v>36</v>
      </c>
      <c r="AI74" s="13" t="str">
        <f t="shared" si="31"/>
        <v/>
      </c>
      <c r="AJ74" s="13"/>
      <c r="AK74" s="13"/>
      <c r="AL74" s="13"/>
    </row>
    <row r="75">
      <c r="A75" s="9">
        <v>74.0</v>
      </c>
      <c r="B75" s="9">
        <v>1046.0</v>
      </c>
      <c r="C75" s="13"/>
      <c r="D75" s="13"/>
      <c r="E75" s="13"/>
      <c r="F75" s="18"/>
      <c r="G75" s="12"/>
      <c r="H75" s="10">
        <v>44542.0</v>
      </c>
      <c r="I75" s="12"/>
      <c r="J75" s="14">
        <v>44282.0</v>
      </c>
      <c r="K75" s="9" t="s">
        <v>49</v>
      </c>
      <c r="L75" s="9">
        <v>20.0</v>
      </c>
      <c r="M75" s="9">
        <v>19.0</v>
      </c>
      <c r="N75" s="13" t="str">
        <f t="shared" si="1"/>
        <v>000008</v>
      </c>
      <c r="O75" s="9">
        <f t="shared" si="2"/>
        <v>0</v>
      </c>
      <c r="P75" s="9">
        <f t="shared" si="5"/>
        <v>0</v>
      </c>
      <c r="Q75" s="20">
        <f t="shared" si="27"/>
        <v>46012</v>
      </c>
      <c r="R75" s="9" t="str">
        <f>if(if("m"=K75,true,countif(Cull!A:A,B:B)&gt;0),"X","")</f>
        <v>X</v>
      </c>
      <c r="S75" s="9" t="s">
        <v>37</v>
      </c>
      <c r="T75" s="9"/>
      <c r="U75" s="9"/>
      <c r="V75" s="9"/>
      <c r="W75" s="9"/>
      <c r="X75" s="9"/>
      <c r="Y75" s="9"/>
      <c r="Z75" s="9"/>
      <c r="AA75" s="9"/>
      <c r="AB75" s="9" t="s">
        <v>111</v>
      </c>
      <c r="AC75" s="13"/>
      <c r="AD75" s="13"/>
      <c r="AE75" s="9">
        <v>55.0</v>
      </c>
      <c r="AF75" s="9" t="s">
        <v>31</v>
      </c>
      <c r="AG75" s="13"/>
      <c r="AH75" s="13"/>
      <c r="AI75" s="13" t="str">
        <f t="shared" si="31"/>
        <v>X</v>
      </c>
      <c r="AJ75" s="13"/>
      <c r="AK75" s="13"/>
      <c r="AL75" s="13"/>
    </row>
    <row r="76">
      <c r="A76" s="9">
        <v>75.0</v>
      </c>
      <c r="B76" s="9">
        <v>1047.0</v>
      </c>
      <c r="C76" s="13"/>
      <c r="D76" s="13"/>
      <c r="E76" s="13"/>
      <c r="F76" s="18"/>
      <c r="G76" s="12"/>
      <c r="H76" s="22" t="s">
        <v>103</v>
      </c>
      <c r="I76" s="12"/>
      <c r="J76" s="14">
        <v>44282.0</v>
      </c>
      <c r="K76" s="9" t="s">
        <v>31</v>
      </c>
      <c r="L76" s="9">
        <v>20.0</v>
      </c>
      <c r="M76" s="9">
        <v>19.0</v>
      </c>
      <c r="N76" s="13" t="str">
        <f t="shared" si="1"/>
        <v>000008</v>
      </c>
      <c r="O76" s="9">
        <f t="shared" si="2"/>
        <v>0</v>
      </c>
      <c r="P76" s="9">
        <f t="shared" si="5"/>
        <v>0</v>
      </c>
      <c r="Q76" s="20">
        <f t="shared" si="27"/>
        <v>46012</v>
      </c>
      <c r="R76" s="9" t="str">
        <f t="shared" ref="R76:R81" si="33">if("m"=K76,"X",if(or(countif(Cull!A:A,B:B)&gt;0,"X"= XLOOKUP(M:M,A:A,R:R)),"X",""))</f>
        <v>#REF!</v>
      </c>
      <c r="S76" s="9" t="s">
        <v>112</v>
      </c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9">
        <v>57.0</v>
      </c>
      <c r="AF76" s="9" t="s">
        <v>31</v>
      </c>
      <c r="AG76" s="13"/>
      <c r="AH76" s="9" t="s">
        <v>104</v>
      </c>
      <c r="AI76" s="13" t="str">
        <f t="shared" si="31"/>
        <v/>
      </c>
      <c r="AJ76" s="9" t="s">
        <v>43</v>
      </c>
      <c r="AK76" s="13"/>
      <c r="AL76" s="13"/>
    </row>
    <row r="77">
      <c r="A77" s="9">
        <v>76.0</v>
      </c>
      <c r="B77" s="9">
        <v>1048.0</v>
      </c>
      <c r="C77" s="13"/>
      <c r="D77" s="13"/>
      <c r="E77" s="13"/>
      <c r="F77" s="18"/>
      <c r="G77" s="12"/>
      <c r="H77" s="10">
        <v>44520.0</v>
      </c>
      <c r="I77" s="11">
        <v>161.0</v>
      </c>
      <c r="J77" s="14">
        <v>44282.0</v>
      </c>
      <c r="K77" s="9" t="s">
        <v>49</v>
      </c>
      <c r="L77" s="9">
        <v>20.0</v>
      </c>
      <c r="M77" s="9">
        <v>13.0</v>
      </c>
      <c r="N77" s="13" t="str">
        <f t="shared" si="1"/>
        <v/>
      </c>
      <c r="O77" s="9">
        <f t="shared" si="2"/>
        <v>0</v>
      </c>
      <c r="P77" s="9">
        <f t="shared" si="5"/>
        <v>0</v>
      </c>
      <c r="Q77" s="20">
        <f t="shared" si="27"/>
        <v>46012</v>
      </c>
      <c r="R77" s="9" t="str">
        <f t="shared" si="33"/>
        <v>X</v>
      </c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9">
        <v>55.0</v>
      </c>
      <c r="AF77" s="9" t="s">
        <v>49</v>
      </c>
      <c r="AG77" s="9">
        <v>58.0</v>
      </c>
      <c r="AH77" s="9" t="s">
        <v>36</v>
      </c>
      <c r="AI77" s="13" t="str">
        <f t="shared" si="31"/>
        <v/>
      </c>
      <c r="AJ77" s="13"/>
      <c r="AK77" s="13"/>
      <c r="AL77" s="13"/>
    </row>
    <row r="78">
      <c r="A78" s="9">
        <v>77.0</v>
      </c>
      <c r="B78" s="9">
        <v>1050.0</v>
      </c>
      <c r="C78" s="13"/>
      <c r="D78" s="13"/>
      <c r="E78" s="13"/>
      <c r="F78" s="18"/>
      <c r="G78" s="12"/>
      <c r="H78" s="10">
        <v>44608.0</v>
      </c>
      <c r="I78" s="12"/>
      <c r="J78" s="14">
        <v>44282.0</v>
      </c>
      <c r="K78" s="9" t="s">
        <v>31</v>
      </c>
      <c r="L78" s="9">
        <v>20.0</v>
      </c>
      <c r="M78" s="9">
        <v>43.0</v>
      </c>
      <c r="N78" s="13">
        <f t="shared" si="1"/>
        <v>1015</v>
      </c>
      <c r="O78" s="9">
        <f t="shared" si="2"/>
        <v>0</v>
      </c>
      <c r="P78" s="9">
        <f t="shared" si="5"/>
        <v>0</v>
      </c>
      <c r="Q78" s="20">
        <f t="shared" si="27"/>
        <v>46012</v>
      </c>
      <c r="R78" s="9" t="str">
        <f t="shared" si="33"/>
        <v>#REF!</v>
      </c>
      <c r="S78" s="9" t="s">
        <v>113</v>
      </c>
      <c r="T78" s="9"/>
      <c r="U78" s="9"/>
      <c r="V78" s="9"/>
      <c r="W78" s="9"/>
      <c r="X78" s="9"/>
      <c r="Y78" s="9"/>
      <c r="Z78" s="9"/>
      <c r="AA78" s="9"/>
      <c r="AB78" s="9" t="s">
        <v>114</v>
      </c>
      <c r="AC78" s="13"/>
      <c r="AD78" s="13"/>
      <c r="AE78" s="9">
        <v>63.0</v>
      </c>
      <c r="AF78" s="9" t="s">
        <v>31</v>
      </c>
      <c r="AG78" s="13"/>
      <c r="AH78" s="13"/>
      <c r="AI78" s="13" t="str">
        <f t="shared" si="31"/>
        <v/>
      </c>
      <c r="AJ78" s="9" t="s">
        <v>43</v>
      </c>
      <c r="AK78" s="13"/>
      <c r="AL78" s="13"/>
    </row>
    <row r="79">
      <c r="A79" s="9">
        <v>78.0</v>
      </c>
      <c r="B79" s="9">
        <v>1051.0</v>
      </c>
      <c r="C79" s="13"/>
      <c r="D79" s="13"/>
      <c r="E79" s="13"/>
      <c r="F79" s="18"/>
      <c r="G79" s="12"/>
      <c r="H79" s="22" t="s">
        <v>103</v>
      </c>
      <c r="I79" s="12"/>
      <c r="J79" s="14">
        <v>44282.0</v>
      </c>
      <c r="K79" s="9" t="s">
        <v>31</v>
      </c>
      <c r="L79" s="9">
        <v>20.0</v>
      </c>
      <c r="M79" s="13">
        <f t="array" ref="M79">XLOOKUP(N79,B:B,A:A)</f>
        <v>39</v>
      </c>
      <c r="N79" s="9">
        <v>1049.0</v>
      </c>
      <c r="O79" s="9">
        <f t="shared" si="2"/>
        <v>0</v>
      </c>
      <c r="P79" s="9">
        <f t="shared" si="5"/>
        <v>0</v>
      </c>
      <c r="Q79" s="20">
        <f t="shared" si="27"/>
        <v>46012</v>
      </c>
      <c r="R79" s="9" t="str">
        <f t="shared" si="33"/>
        <v>#REF!</v>
      </c>
      <c r="S79" s="9" t="s">
        <v>115</v>
      </c>
      <c r="T79" s="9"/>
      <c r="U79" s="9"/>
      <c r="V79" s="9"/>
      <c r="W79" s="9"/>
      <c r="X79" s="9"/>
      <c r="Y79" s="9"/>
      <c r="Z79" s="9" t="s">
        <v>43</v>
      </c>
      <c r="AA79" s="9" t="s">
        <v>46</v>
      </c>
      <c r="AB79" s="9" t="s">
        <v>116</v>
      </c>
      <c r="AC79" s="13"/>
      <c r="AD79" s="13"/>
      <c r="AE79" s="9">
        <v>70.0</v>
      </c>
      <c r="AF79" s="9" t="s">
        <v>31</v>
      </c>
      <c r="AG79" s="13"/>
      <c r="AH79" s="9" t="s">
        <v>104</v>
      </c>
      <c r="AI79" s="13" t="str">
        <f t="shared" si="31"/>
        <v/>
      </c>
      <c r="AJ79" s="9" t="s">
        <v>43</v>
      </c>
      <c r="AK79" s="13"/>
      <c r="AL79" s="13"/>
    </row>
    <row r="80">
      <c r="A80" s="9">
        <v>79.0</v>
      </c>
      <c r="B80" s="9">
        <v>1053.0</v>
      </c>
      <c r="C80" s="13"/>
      <c r="D80" s="13"/>
      <c r="E80" s="13"/>
      <c r="F80" s="18"/>
      <c r="G80" s="12"/>
      <c r="H80" s="10">
        <v>44520.0</v>
      </c>
      <c r="I80" s="11">
        <v>161.0</v>
      </c>
      <c r="J80" s="10">
        <v>44284.0</v>
      </c>
      <c r="K80" s="9" t="s">
        <v>49</v>
      </c>
      <c r="L80" s="9">
        <v>20.0</v>
      </c>
      <c r="M80" s="9">
        <v>22.0</v>
      </c>
      <c r="N80" s="13" t="str">
        <f t="shared" ref="N80:N276" si="34">xlookup(M80,A:A,B:B)</f>
        <v>000010</v>
      </c>
      <c r="O80" s="9">
        <f t="shared" si="2"/>
        <v>0</v>
      </c>
      <c r="P80" s="9">
        <f t="shared" si="5"/>
        <v>0</v>
      </c>
      <c r="Q80" s="20">
        <f t="shared" si="27"/>
        <v>46012</v>
      </c>
      <c r="R80" s="9" t="str">
        <f t="shared" si="33"/>
        <v>X</v>
      </c>
      <c r="S80" s="9" t="s">
        <v>117</v>
      </c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9">
        <v>60.0</v>
      </c>
      <c r="AF80" s="9" t="s">
        <v>49</v>
      </c>
      <c r="AG80" s="9">
        <v>62.0</v>
      </c>
      <c r="AH80" s="9" t="s">
        <v>36</v>
      </c>
      <c r="AI80" s="13" t="str">
        <f t="shared" si="31"/>
        <v/>
      </c>
      <c r="AJ80" s="13"/>
      <c r="AK80" s="13"/>
      <c r="AL80" s="13"/>
    </row>
    <row r="81">
      <c r="A81" s="9">
        <v>80.0</v>
      </c>
      <c r="B81" s="9">
        <v>1055.0</v>
      </c>
      <c r="C81" s="13"/>
      <c r="D81" s="13"/>
      <c r="E81" s="13"/>
      <c r="F81" s="18"/>
      <c r="G81" s="12"/>
      <c r="H81" s="10">
        <v>44520.0</v>
      </c>
      <c r="I81" s="11">
        <v>130.0</v>
      </c>
      <c r="J81" s="10">
        <v>44292.0</v>
      </c>
      <c r="K81" s="9" t="s">
        <v>49</v>
      </c>
      <c r="L81" s="9">
        <v>20.0</v>
      </c>
      <c r="M81" s="9">
        <v>45.0</v>
      </c>
      <c r="N81" s="13">
        <f t="shared" si="34"/>
        <v>1017</v>
      </c>
      <c r="O81" s="9">
        <f t="shared" si="2"/>
        <v>0</v>
      </c>
      <c r="P81" s="9">
        <f t="shared" si="5"/>
        <v>0</v>
      </c>
      <c r="Q81" s="20">
        <f t="shared" si="27"/>
        <v>46012</v>
      </c>
      <c r="R81" s="9" t="str">
        <f t="shared" si="33"/>
        <v>X</v>
      </c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9">
        <v>45.0</v>
      </c>
      <c r="AF81" s="9" t="s">
        <v>49</v>
      </c>
      <c r="AG81" s="9" t="s">
        <v>118</v>
      </c>
      <c r="AH81" s="9" t="s">
        <v>36</v>
      </c>
      <c r="AI81" s="13" t="str">
        <f t="shared" si="31"/>
        <v/>
      </c>
      <c r="AJ81" s="13"/>
      <c r="AK81" s="13"/>
      <c r="AL81" s="13"/>
    </row>
    <row r="82">
      <c r="A82" s="9">
        <v>81.0</v>
      </c>
      <c r="B82" s="9">
        <v>1056.0</v>
      </c>
      <c r="C82" s="13"/>
      <c r="D82" s="13"/>
      <c r="E82" s="13"/>
      <c r="F82" s="18"/>
      <c r="G82" s="12"/>
      <c r="H82" s="10">
        <v>44510.0</v>
      </c>
      <c r="I82" s="12"/>
      <c r="J82" s="10">
        <v>44292.0</v>
      </c>
      <c r="K82" s="9" t="s">
        <v>49</v>
      </c>
      <c r="L82" s="9">
        <v>20.0</v>
      </c>
      <c r="M82" s="9">
        <v>45.0</v>
      </c>
      <c r="N82" s="13">
        <f t="shared" si="34"/>
        <v>1017</v>
      </c>
      <c r="O82" s="9">
        <f t="shared" si="2"/>
        <v>0</v>
      </c>
      <c r="P82" s="9">
        <f t="shared" si="5"/>
        <v>0</v>
      </c>
      <c r="Q82" s="20">
        <f t="shared" si="27"/>
        <v>46012</v>
      </c>
      <c r="R82" s="9" t="str">
        <f>if(if("m"=K82,true,countif(Cull!A:A,B:B)&gt;0),"X","")</f>
        <v>X</v>
      </c>
      <c r="S82" s="9" t="s">
        <v>97</v>
      </c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</row>
    <row r="83">
      <c r="A83" s="9">
        <v>82.0</v>
      </c>
      <c r="B83" s="9">
        <v>1054.0</v>
      </c>
      <c r="C83" s="13"/>
      <c r="D83" s="13"/>
      <c r="E83" s="13"/>
      <c r="F83" s="18"/>
      <c r="G83" s="12"/>
      <c r="H83" s="10">
        <v>44524.0</v>
      </c>
      <c r="I83" s="12"/>
      <c r="J83" s="10">
        <v>44287.0</v>
      </c>
      <c r="K83" s="9" t="s">
        <v>31</v>
      </c>
      <c r="L83" s="9">
        <v>20.0</v>
      </c>
      <c r="M83" s="9">
        <v>15.0</v>
      </c>
      <c r="N83" s="13" t="str">
        <f t="shared" si="34"/>
        <v>000015</v>
      </c>
      <c r="O83" s="9">
        <f t="shared" si="2"/>
        <v>0</v>
      </c>
      <c r="P83" s="9">
        <f t="shared" si="5"/>
        <v>0</v>
      </c>
      <c r="Q83" s="20">
        <f t="shared" si="27"/>
        <v>46012</v>
      </c>
      <c r="R83" s="9" t="str">
        <f t="shared" ref="R83:R84" si="35">if("m"=K83,"X",if(or(countif(Cull!A:A,B:B)&gt;0,"X"= XLOOKUP(M:M,A:A,R:R)),"X",""))</f>
        <v>#REF!</v>
      </c>
      <c r="S83" s="9" t="s">
        <v>119</v>
      </c>
      <c r="T83" s="9"/>
      <c r="U83" s="9"/>
      <c r="V83" s="9"/>
      <c r="W83" s="9"/>
      <c r="X83" s="9"/>
      <c r="Y83" s="9"/>
      <c r="Z83" s="9"/>
      <c r="AA83" s="9"/>
      <c r="AB83" s="9" t="s">
        <v>120</v>
      </c>
      <c r="AC83" s="13"/>
      <c r="AD83" s="13"/>
      <c r="AE83" s="9">
        <v>35.0</v>
      </c>
      <c r="AF83" s="9" t="s">
        <v>31</v>
      </c>
      <c r="AG83" s="13"/>
      <c r="AH83" s="9" t="s">
        <v>104</v>
      </c>
      <c r="AI83" s="13" t="str">
        <f t="shared" ref="AI83:AI84" si="36">IF(K83=AF83,"","X")</f>
        <v/>
      </c>
      <c r="AJ83" s="13"/>
      <c r="AK83" s="13"/>
      <c r="AL83" s="13"/>
    </row>
    <row r="84">
      <c r="A84" s="9">
        <v>83.0</v>
      </c>
      <c r="B84" s="9">
        <v>1057.0</v>
      </c>
      <c r="C84" s="13"/>
      <c r="D84" s="13"/>
      <c r="E84" s="13"/>
      <c r="F84" s="18"/>
      <c r="G84" s="12"/>
      <c r="H84" s="10">
        <v>44567.0</v>
      </c>
      <c r="I84" s="12"/>
      <c r="J84" s="10">
        <v>44288.0</v>
      </c>
      <c r="K84" s="9" t="s">
        <v>31</v>
      </c>
      <c r="L84" s="9">
        <v>20.0</v>
      </c>
      <c r="M84" s="9">
        <v>34.0</v>
      </c>
      <c r="N84" s="13">
        <f t="shared" si="34"/>
        <v>1376</v>
      </c>
      <c r="O84" s="9">
        <f t="shared" si="2"/>
        <v>0</v>
      </c>
      <c r="P84" s="9">
        <f t="shared" si="5"/>
        <v>0</v>
      </c>
      <c r="Q84" s="20">
        <f t="shared" si="27"/>
        <v>46012</v>
      </c>
      <c r="R84" s="9" t="str">
        <f t="shared" si="35"/>
        <v>#REF!</v>
      </c>
      <c r="S84" s="9"/>
      <c r="T84" s="9"/>
      <c r="U84" s="9"/>
      <c r="V84" s="9"/>
      <c r="W84" s="9"/>
      <c r="X84" s="9"/>
      <c r="Y84" s="9"/>
      <c r="Z84" s="9"/>
      <c r="AA84" s="9"/>
      <c r="AB84" s="9" t="s">
        <v>121</v>
      </c>
      <c r="AC84" s="13"/>
      <c r="AD84" s="13"/>
      <c r="AE84" s="9">
        <v>52.0</v>
      </c>
      <c r="AF84" s="9" t="s">
        <v>31</v>
      </c>
      <c r="AG84" s="13"/>
      <c r="AH84" s="9" t="s">
        <v>104</v>
      </c>
      <c r="AI84" s="13" t="str">
        <f t="shared" si="36"/>
        <v/>
      </c>
      <c r="AJ84" s="9" t="s">
        <v>43</v>
      </c>
      <c r="AK84" s="13"/>
      <c r="AL84" s="13"/>
    </row>
    <row r="85">
      <c r="A85" s="9">
        <v>84.0</v>
      </c>
      <c r="B85" s="9">
        <v>1103.0</v>
      </c>
      <c r="C85" s="9" t="s">
        <v>122</v>
      </c>
      <c r="D85" s="13"/>
      <c r="E85" s="13"/>
      <c r="F85" s="18"/>
      <c r="G85" s="12"/>
      <c r="H85" s="10">
        <v>44582.0</v>
      </c>
      <c r="I85" s="12"/>
      <c r="J85" s="10">
        <v>44492.0</v>
      </c>
      <c r="K85" s="9" t="s">
        <v>49</v>
      </c>
      <c r="L85" s="9">
        <v>20.0</v>
      </c>
      <c r="M85" s="9">
        <v>27.0</v>
      </c>
      <c r="N85" s="13">
        <f t="shared" si="34"/>
        <v>52</v>
      </c>
      <c r="O85" s="9">
        <f t="shared" si="2"/>
        <v>0</v>
      </c>
      <c r="P85" s="9">
        <f t="shared" si="5"/>
        <v>0</v>
      </c>
      <c r="Q85" s="20">
        <f t="shared" si="27"/>
        <v>46012</v>
      </c>
      <c r="R85" s="9" t="str">
        <f t="shared" ref="R85:R87" si="37">if(if("m"=K85,true,countif(Cull!A:A,B:B)&gt;0),"X","")</f>
        <v>X</v>
      </c>
      <c r="S85" s="9" t="s">
        <v>123</v>
      </c>
      <c r="T85" s="9"/>
      <c r="U85" s="9"/>
      <c r="V85" s="9"/>
      <c r="W85" s="9"/>
      <c r="X85" s="9"/>
      <c r="Y85" s="9"/>
      <c r="Z85" s="9"/>
      <c r="AA85" s="9"/>
      <c r="AB85" s="9" t="s">
        <v>124</v>
      </c>
      <c r="AC85" s="13"/>
      <c r="AD85" s="13"/>
      <c r="AE85" s="13"/>
      <c r="AF85" s="13"/>
      <c r="AG85" s="13"/>
      <c r="AH85" s="13"/>
      <c r="AI85" s="13"/>
      <c r="AJ85" s="9" t="s">
        <v>43</v>
      </c>
      <c r="AK85" s="13"/>
      <c r="AL85" s="13"/>
    </row>
    <row r="86">
      <c r="A86" s="9">
        <v>85.0</v>
      </c>
      <c r="B86" s="9">
        <v>1109.0</v>
      </c>
      <c r="C86" s="9" t="s">
        <v>122</v>
      </c>
      <c r="D86" s="13"/>
      <c r="E86" s="13"/>
      <c r="F86" s="18"/>
      <c r="G86" s="12"/>
      <c r="H86" s="10">
        <v>44610.0</v>
      </c>
      <c r="I86" s="12"/>
      <c r="J86" s="10">
        <v>44492.0</v>
      </c>
      <c r="K86" s="9" t="s">
        <v>49</v>
      </c>
      <c r="L86" s="9">
        <v>20.0</v>
      </c>
      <c r="M86" s="9">
        <v>27.0</v>
      </c>
      <c r="N86" s="13">
        <f t="shared" si="34"/>
        <v>52</v>
      </c>
      <c r="O86" s="9">
        <f t="shared" si="2"/>
        <v>0</v>
      </c>
      <c r="P86" s="9">
        <f t="shared" si="5"/>
        <v>0</v>
      </c>
      <c r="Q86" s="20">
        <f t="shared" si="27"/>
        <v>46012</v>
      </c>
      <c r="R86" s="9" t="str">
        <f t="shared" si="37"/>
        <v>X</v>
      </c>
      <c r="S86" s="9" t="s">
        <v>125</v>
      </c>
      <c r="T86" s="9"/>
      <c r="U86" s="9"/>
      <c r="V86" s="9"/>
      <c r="W86" s="9"/>
      <c r="X86" s="9"/>
      <c r="Y86" s="9"/>
      <c r="Z86" s="9"/>
      <c r="AA86" s="9"/>
      <c r="AB86" s="9" t="s">
        <v>126</v>
      </c>
      <c r="AC86" s="13"/>
      <c r="AD86" s="13"/>
      <c r="AE86" s="13"/>
      <c r="AF86" s="13"/>
      <c r="AG86" s="13"/>
      <c r="AH86" s="13"/>
      <c r="AI86" s="13"/>
      <c r="AJ86" s="9" t="s">
        <v>43</v>
      </c>
      <c r="AK86" s="13"/>
      <c r="AL86" s="13"/>
    </row>
    <row r="87">
      <c r="A87" s="9">
        <v>86.0</v>
      </c>
      <c r="B87" s="9">
        <v>1101.0</v>
      </c>
      <c r="C87" s="9" t="s">
        <v>122</v>
      </c>
      <c r="F87" s="18"/>
      <c r="G87" s="18"/>
      <c r="H87" s="18"/>
      <c r="I87" s="12"/>
      <c r="J87" s="10">
        <v>44493.0</v>
      </c>
      <c r="K87" s="9" t="s">
        <v>31</v>
      </c>
      <c r="L87" s="9">
        <v>20.0</v>
      </c>
      <c r="M87" s="9">
        <v>26.0</v>
      </c>
      <c r="N87" s="13">
        <f t="shared" si="34"/>
        <v>27</v>
      </c>
      <c r="O87" s="9">
        <f t="shared" si="2"/>
        <v>0</v>
      </c>
      <c r="P87" s="9">
        <f t="shared" si="5"/>
        <v>0</v>
      </c>
      <c r="Q87" s="20">
        <f t="shared" si="27"/>
        <v>46012</v>
      </c>
      <c r="R87" s="9" t="str">
        <f t="shared" si="37"/>
        <v>#REF!</v>
      </c>
      <c r="S87" s="19" t="s">
        <v>45</v>
      </c>
      <c r="T87" s="9"/>
      <c r="U87" s="9"/>
      <c r="V87" s="9"/>
      <c r="W87" s="9"/>
      <c r="X87" s="9"/>
      <c r="Y87" s="9"/>
      <c r="Z87" s="9" t="s">
        <v>94</v>
      </c>
      <c r="AA87" s="13"/>
      <c r="AF87" s="13"/>
      <c r="AG87" s="13"/>
      <c r="AH87" s="13"/>
      <c r="AJ87" s="9" t="s">
        <v>43</v>
      </c>
    </row>
    <row r="88">
      <c r="A88" s="9">
        <v>87.0</v>
      </c>
      <c r="B88" s="13"/>
      <c r="C88" s="13"/>
      <c r="D88" s="13"/>
      <c r="E88" s="13"/>
      <c r="F88" s="18"/>
      <c r="G88" s="12"/>
      <c r="H88" s="10">
        <v>44493.0</v>
      </c>
      <c r="I88" s="12"/>
      <c r="J88" s="10">
        <v>44493.0</v>
      </c>
      <c r="K88" s="9" t="s">
        <v>94</v>
      </c>
      <c r="L88" s="9">
        <v>20.0</v>
      </c>
      <c r="M88" s="9">
        <v>26.0</v>
      </c>
      <c r="N88" s="13">
        <f t="shared" si="34"/>
        <v>27</v>
      </c>
      <c r="O88" s="9">
        <f t="shared" si="2"/>
        <v>0</v>
      </c>
      <c r="P88" s="9">
        <f t="shared" si="5"/>
        <v>0</v>
      </c>
      <c r="Q88" s="9"/>
      <c r="R88" s="9" t="str">
        <f t="shared" ref="R88:R90" si="38">if("m"=K88,"X",if(or(countif(Cull!A:A,B:B)&gt;0,"X"= XLOOKUP(M:M,A:A,R:R)),"X",""))</f>
        <v>#REF!</v>
      </c>
      <c r="S88" s="9" t="s">
        <v>127</v>
      </c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</row>
    <row r="89">
      <c r="A89" s="9">
        <v>88.0</v>
      </c>
      <c r="B89" s="9">
        <v>1102.0</v>
      </c>
      <c r="C89" s="9" t="s">
        <v>122</v>
      </c>
      <c r="D89" s="13"/>
      <c r="E89" s="13"/>
      <c r="F89" s="18"/>
      <c r="G89" s="12"/>
      <c r="H89" s="10">
        <v>45576.0</v>
      </c>
      <c r="I89" s="12"/>
      <c r="J89" s="10">
        <v>44508.0</v>
      </c>
      <c r="K89" s="9" t="s">
        <v>31</v>
      </c>
      <c r="L89" s="9">
        <v>20.0</v>
      </c>
      <c r="M89" s="9">
        <v>28.0</v>
      </c>
      <c r="N89" s="13">
        <f t="shared" si="34"/>
        <v>32</v>
      </c>
      <c r="O89" s="9">
        <f t="shared" si="2"/>
        <v>2</v>
      </c>
      <c r="P89" s="9">
        <f t="shared" si="5"/>
        <v>0</v>
      </c>
      <c r="Q89" s="9">
        <f t="shared" ref="Q89:Q104" si="39">today()-xlookup(A89,M:M,J:J,"",0,-1)</f>
        <v>693</v>
      </c>
      <c r="R89" s="9" t="str">
        <f t="shared" si="38"/>
        <v>#REF!</v>
      </c>
      <c r="S89" s="9" t="s">
        <v>37</v>
      </c>
      <c r="T89" s="9"/>
      <c r="U89" s="9"/>
      <c r="V89" s="9"/>
      <c r="W89" s="9"/>
      <c r="X89" s="9"/>
      <c r="Y89" s="9"/>
      <c r="Z89" s="9" t="s">
        <v>43</v>
      </c>
      <c r="AA89" s="9" t="s">
        <v>39</v>
      </c>
      <c r="AB89" s="9" t="s">
        <v>128</v>
      </c>
      <c r="AC89" s="13"/>
      <c r="AD89" s="13"/>
      <c r="AE89" s="13"/>
      <c r="AF89" s="13"/>
      <c r="AG89" s="13"/>
      <c r="AH89" s="13"/>
      <c r="AI89" s="13"/>
      <c r="AJ89" s="9" t="s">
        <v>43</v>
      </c>
      <c r="AK89" s="13"/>
      <c r="AL89" s="13"/>
    </row>
    <row r="90">
      <c r="A90" s="9">
        <v>89.0</v>
      </c>
      <c r="B90" s="9">
        <v>1108.0</v>
      </c>
      <c r="C90" s="9" t="s">
        <v>122</v>
      </c>
      <c r="D90" s="13"/>
      <c r="E90" s="13"/>
      <c r="F90" s="18"/>
      <c r="G90" s="12"/>
      <c r="H90" s="10">
        <v>45450.0</v>
      </c>
      <c r="I90" s="12"/>
      <c r="J90" s="10">
        <v>44508.0</v>
      </c>
      <c r="K90" s="9" t="s">
        <v>31</v>
      </c>
      <c r="L90" s="9">
        <v>20.0</v>
      </c>
      <c r="M90" s="9">
        <v>28.0</v>
      </c>
      <c r="N90" s="13">
        <f t="shared" si="34"/>
        <v>32</v>
      </c>
      <c r="O90" s="9">
        <f t="shared" si="2"/>
        <v>0</v>
      </c>
      <c r="P90" s="9">
        <f t="shared" si="5"/>
        <v>0</v>
      </c>
      <c r="Q90" s="20">
        <f t="shared" si="39"/>
        <v>46012</v>
      </c>
      <c r="R90" s="9" t="str">
        <f t="shared" si="38"/>
        <v>#REF!</v>
      </c>
      <c r="S90" s="9" t="s">
        <v>37</v>
      </c>
      <c r="T90" s="9"/>
      <c r="U90" s="9"/>
      <c r="V90" s="9"/>
      <c r="W90" s="9"/>
      <c r="X90" s="9"/>
      <c r="Y90" s="9"/>
      <c r="Z90" s="9"/>
      <c r="AA90" s="9" t="s">
        <v>46</v>
      </c>
      <c r="AB90" s="13"/>
      <c r="AC90" s="13"/>
      <c r="AD90" s="13"/>
      <c r="AE90" s="13"/>
      <c r="AF90" s="13"/>
      <c r="AG90" s="13"/>
      <c r="AH90" s="13"/>
      <c r="AI90" s="13"/>
      <c r="AJ90" s="9" t="s">
        <v>43</v>
      </c>
      <c r="AK90" s="13"/>
      <c r="AL90" s="13"/>
    </row>
    <row r="91">
      <c r="A91" s="9">
        <v>90.0</v>
      </c>
      <c r="B91" s="9">
        <v>1100.0</v>
      </c>
      <c r="C91" s="9" t="s">
        <v>122</v>
      </c>
      <c r="F91" s="18"/>
      <c r="G91" s="12"/>
      <c r="H91" s="18"/>
      <c r="I91" s="12"/>
      <c r="J91" s="10">
        <v>44514.0</v>
      </c>
      <c r="K91" s="9" t="s">
        <v>31</v>
      </c>
      <c r="L91" s="9">
        <v>20.0</v>
      </c>
      <c r="M91" s="9">
        <v>12.0</v>
      </c>
      <c r="N91" s="13" t="str">
        <f t="shared" si="34"/>
        <v>000018</v>
      </c>
      <c r="O91" s="9">
        <f t="shared" si="2"/>
        <v>3</v>
      </c>
      <c r="P91" s="9">
        <f t="shared" si="5"/>
        <v>2</v>
      </c>
      <c r="Q91" s="9">
        <f t="shared" si="39"/>
        <v>302</v>
      </c>
      <c r="R91" s="9" t="str">
        <f t="shared" ref="R91:R93" si="40">if(if("m"=K91,true,countif(Cull!A:A,B:B)&gt;0),"X","")</f>
        <v>#REF!</v>
      </c>
      <c r="S91" s="19" t="s">
        <v>45</v>
      </c>
      <c r="T91" s="9"/>
      <c r="U91" s="9"/>
      <c r="V91" s="9"/>
      <c r="W91" s="9" t="s">
        <v>43</v>
      </c>
      <c r="X91" s="9"/>
      <c r="Y91" s="9"/>
      <c r="Z91" s="9" t="s">
        <v>43</v>
      </c>
      <c r="AA91" s="9" t="s">
        <v>39</v>
      </c>
      <c r="AF91" s="13"/>
      <c r="AG91" s="13"/>
      <c r="AH91" s="13"/>
      <c r="AJ91" s="9" t="s">
        <v>43</v>
      </c>
    </row>
    <row r="92">
      <c r="A92" s="9">
        <v>91.0</v>
      </c>
      <c r="B92" s="9">
        <v>1110.0</v>
      </c>
      <c r="C92" s="9" t="s">
        <v>122</v>
      </c>
      <c r="F92" s="18"/>
      <c r="G92" s="12"/>
      <c r="H92" s="18"/>
      <c r="I92" s="12"/>
      <c r="J92" s="10">
        <v>44515.0</v>
      </c>
      <c r="K92" s="9" t="s">
        <v>31</v>
      </c>
      <c r="L92" s="9">
        <v>20.0</v>
      </c>
      <c r="M92" s="9">
        <v>10.0</v>
      </c>
      <c r="N92" s="13">
        <f t="shared" si="34"/>
        <v>1006</v>
      </c>
      <c r="O92" s="9">
        <f t="shared" si="2"/>
        <v>3</v>
      </c>
      <c r="P92" s="9">
        <f t="shared" si="5"/>
        <v>1</v>
      </c>
      <c r="Q92" s="9">
        <f t="shared" si="39"/>
        <v>340</v>
      </c>
      <c r="R92" s="9" t="str">
        <f t="shared" si="40"/>
        <v>#REF!</v>
      </c>
      <c r="S92" s="19" t="s">
        <v>129</v>
      </c>
      <c r="T92" s="9"/>
      <c r="U92" s="9"/>
      <c r="V92" s="9"/>
      <c r="W92" s="9"/>
      <c r="X92" s="9"/>
      <c r="Y92" s="9" t="s">
        <v>43</v>
      </c>
      <c r="Z92" s="9" t="s">
        <v>43</v>
      </c>
      <c r="AA92" s="9" t="s">
        <v>39</v>
      </c>
      <c r="AF92" s="13"/>
      <c r="AG92" s="13"/>
      <c r="AH92" s="13"/>
      <c r="AJ92" s="9" t="s">
        <v>43</v>
      </c>
    </row>
    <row r="93">
      <c r="A93" s="9">
        <v>92.0</v>
      </c>
      <c r="B93" s="9">
        <v>1111.0</v>
      </c>
      <c r="C93" s="9" t="s">
        <v>122</v>
      </c>
      <c r="F93" s="18"/>
      <c r="G93" s="12"/>
      <c r="H93" s="18"/>
      <c r="I93" s="12"/>
      <c r="J93" s="10">
        <v>44515.0</v>
      </c>
      <c r="K93" s="9" t="s">
        <v>31</v>
      </c>
      <c r="L93" s="9">
        <v>20.0</v>
      </c>
      <c r="M93" s="9">
        <v>25.0</v>
      </c>
      <c r="N93" s="13">
        <f t="shared" si="34"/>
        <v>26</v>
      </c>
      <c r="O93" s="9">
        <f t="shared" si="2"/>
        <v>3</v>
      </c>
      <c r="P93" s="9">
        <f t="shared" si="5"/>
        <v>2</v>
      </c>
      <c r="Q93" s="9">
        <f t="shared" si="39"/>
        <v>337</v>
      </c>
      <c r="R93" s="9" t="str">
        <f t="shared" si="40"/>
        <v>#REF!</v>
      </c>
      <c r="S93" s="19" t="s">
        <v>130</v>
      </c>
      <c r="T93" s="9" t="s">
        <v>43</v>
      </c>
      <c r="U93" s="9"/>
      <c r="V93" s="9"/>
      <c r="W93" s="9" t="s">
        <v>43</v>
      </c>
      <c r="X93" s="9"/>
      <c r="Y93" s="9"/>
      <c r="Z93" s="9" t="s">
        <v>43</v>
      </c>
      <c r="AA93" s="13"/>
      <c r="AF93" s="13"/>
      <c r="AG93" s="13"/>
      <c r="AH93" s="13"/>
      <c r="AJ93" s="9" t="s">
        <v>43</v>
      </c>
    </row>
    <row r="94">
      <c r="A94" s="9">
        <v>93.0</v>
      </c>
      <c r="B94" s="9">
        <v>1259.0</v>
      </c>
      <c r="C94" s="13"/>
      <c r="D94" s="13"/>
      <c r="E94" s="13"/>
      <c r="F94" s="10">
        <v>44521.0</v>
      </c>
      <c r="G94" s="12"/>
      <c r="H94" s="10">
        <v>45450.0</v>
      </c>
      <c r="I94" s="12"/>
      <c r="J94" s="18"/>
      <c r="K94" s="9" t="s">
        <v>49</v>
      </c>
      <c r="L94" s="13"/>
      <c r="M94" s="13"/>
      <c r="N94" s="13" t="str">
        <f t="shared" si="34"/>
        <v>#N/A</v>
      </c>
      <c r="O94" s="9">
        <f t="shared" si="2"/>
        <v>0</v>
      </c>
      <c r="P94" s="9">
        <f t="shared" si="5"/>
        <v>0</v>
      </c>
      <c r="Q94" s="20">
        <f t="shared" si="39"/>
        <v>46012</v>
      </c>
      <c r="R94" s="9" t="str">
        <f t="array" ref="R94">if("m"=K94,"X",if(or(countif(Cull!A:A,B:B)&gt;0,"X"= XLOOKUP(M:M,A:A,R:R)),"X",""))</f>
        <v>X</v>
      </c>
      <c r="S94" s="9" t="s">
        <v>131</v>
      </c>
      <c r="T94" s="9"/>
      <c r="U94" s="9"/>
      <c r="V94" s="9"/>
      <c r="W94" s="9"/>
      <c r="X94" s="9"/>
      <c r="Y94" s="9"/>
      <c r="Z94" s="9"/>
      <c r="AA94" s="9" t="s">
        <v>46</v>
      </c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</row>
    <row r="95">
      <c r="A95" s="9">
        <v>94.0</v>
      </c>
      <c r="B95" s="9">
        <v>1113.0</v>
      </c>
      <c r="C95" s="13"/>
      <c r="F95" s="18"/>
      <c r="G95" s="12"/>
      <c r="H95" s="18"/>
      <c r="I95" s="12"/>
      <c r="J95" s="10">
        <v>44529.0</v>
      </c>
      <c r="K95" s="9" t="s">
        <v>31</v>
      </c>
      <c r="L95" s="9">
        <v>20.0</v>
      </c>
      <c r="M95" s="9">
        <v>23.0</v>
      </c>
      <c r="N95" s="13" t="str">
        <f t="shared" si="34"/>
        <v>000014</v>
      </c>
      <c r="O95" s="9">
        <f t="shared" si="2"/>
        <v>3</v>
      </c>
      <c r="P95" s="9">
        <f t="shared" si="5"/>
        <v>1</v>
      </c>
      <c r="Q95" s="9">
        <f t="shared" si="39"/>
        <v>325</v>
      </c>
      <c r="R95" s="9" t="str">
        <f t="shared" ref="R95:R98" si="41">if(if("m"=K95,true,countif(Cull!A:A,B:B)&gt;0),"X","")</f>
        <v>#REF!</v>
      </c>
      <c r="S95" s="19" t="s">
        <v>37</v>
      </c>
      <c r="T95" s="9" t="s">
        <v>43</v>
      </c>
      <c r="U95" s="9"/>
      <c r="V95" s="9"/>
      <c r="W95" s="9" t="s">
        <v>43</v>
      </c>
      <c r="X95" s="9"/>
      <c r="Y95" s="9"/>
      <c r="Z95" s="9" t="s">
        <v>43</v>
      </c>
      <c r="AA95" s="9" t="s">
        <v>39</v>
      </c>
      <c r="AF95" s="13"/>
      <c r="AG95" s="13"/>
      <c r="AH95" s="13"/>
      <c r="AJ95" s="9" t="s">
        <v>43</v>
      </c>
    </row>
    <row r="96">
      <c r="A96" s="9">
        <v>95.0</v>
      </c>
      <c r="B96" s="9">
        <v>1112.0</v>
      </c>
      <c r="C96" s="9" t="s">
        <v>132</v>
      </c>
      <c r="D96" s="13"/>
      <c r="E96" s="13"/>
      <c r="F96" s="18"/>
      <c r="G96" s="12"/>
      <c r="H96" s="10">
        <v>44870.0</v>
      </c>
      <c r="I96" s="12"/>
      <c r="J96" s="10">
        <v>44529.0</v>
      </c>
      <c r="K96" s="9" t="s">
        <v>49</v>
      </c>
      <c r="L96" s="9">
        <v>20.0</v>
      </c>
      <c r="M96" s="9">
        <v>23.0</v>
      </c>
      <c r="N96" s="13" t="str">
        <f t="shared" si="34"/>
        <v>000014</v>
      </c>
      <c r="O96" s="13"/>
      <c r="P96" s="9">
        <f t="shared" si="5"/>
        <v>0</v>
      </c>
      <c r="Q96" s="20">
        <f t="shared" si="39"/>
        <v>46012</v>
      </c>
      <c r="R96" s="9" t="str">
        <f t="shared" si="41"/>
        <v>X</v>
      </c>
      <c r="S96" s="9" t="s">
        <v>133</v>
      </c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9" t="s">
        <v>43</v>
      </c>
      <c r="AK96" s="13"/>
      <c r="AL96" s="13"/>
    </row>
    <row r="97">
      <c r="A97" s="9">
        <v>96.0</v>
      </c>
      <c r="B97" s="9">
        <v>1104.0</v>
      </c>
      <c r="C97" s="13"/>
      <c r="F97" s="18"/>
      <c r="G97" s="12"/>
      <c r="H97" s="18"/>
      <c r="I97" s="12"/>
      <c r="J97" s="10">
        <v>44529.0</v>
      </c>
      <c r="K97" s="9" t="s">
        <v>31</v>
      </c>
      <c r="L97" s="9">
        <v>20.0</v>
      </c>
      <c r="M97" s="9">
        <v>3.0</v>
      </c>
      <c r="N97" s="13">
        <f t="shared" si="34"/>
        <v>255</v>
      </c>
      <c r="O97" s="9">
        <f>countif(M:M,A97)</f>
        <v>0</v>
      </c>
      <c r="P97" s="9">
        <f t="shared" si="5"/>
        <v>0</v>
      </c>
      <c r="Q97" s="20">
        <f t="shared" si="39"/>
        <v>46012</v>
      </c>
      <c r="R97" s="9" t="str">
        <f t="shared" si="41"/>
        <v>#REF!</v>
      </c>
      <c r="S97" s="19" t="s">
        <v>37</v>
      </c>
      <c r="Z97" s="13"/>
      <c r="AA97" s="13"/>
      <c r="AF97" s="13"/>
      <c r="AG97" s="13"/>
      <c r="AH97" s="13"/>
      <c r="AJ97" s="9" t="s">
        <v>43</v>
      </c>
    </row>
    <row r="98">
      <c r="A98" s="9">
        <v>97.0</v>
      </c>
      <c r="B98" s="9">
        <v>1105.0</v>
      </c>
      <c r="C98" s="9" t="s">
        <v>132</v>
      </c>
      <c r="D98" s="13"/>
      <c r="E98" s="13"/>
      <c r="F98" s="18"/>
      <c r="G98" s="12"/>
      <c r="H98" s="10">
        <v>44727.0</v>
      </c>
      <c r="I98" s="12"/>
      <c r="J98" s="10">
        <v>44529.0</v>
      </c>
      <c r="K98" s="9" t="s">
        <v>49</v>
      </c>
      <c r="L98" s="9">
        <v>20.0</v>
      </c>
      <c r="M98" s="9">
        <v>3.0</v>
      </c>
      <c r="N98" s="13">
        <f t="shared" si="34"/>
        <v>255</v>
      </c>
      <c r="O98" s="13"/>
      <c r="P98" s="9">
        <f t="shared" si="5"/>
        <v>0</v>
      </c>
      <c r="Q98" s="20">
        <f t="shared" si="39"/>
        <v>46012</v>
      </c>
      <c r="R98" s="9" t="str">
        <f t="shared" si="41"/>
        <v>X</v>
      </c>
      <c r="S98" s="9" t="s">
        <v>134</v>
      </c>
      <c r="T98" s="9"/>
      <c r="U98" s="9"/>
      <c r="V98" s="9"/>
      <c r="W98" s="9"/>
      <c r="X98" s="9"/>
      <c r="Y98" s="9"/>
      <c r="Z98" s="9"/>
      <c r="AA98" s="9"/>
      <c r="AB98" s="9" t="s">
        <v>135</v>
      </c>
      <c r="AC98" s="13"/>
      <c r="AD98" s="13"/>
      <c r="AE98" s="13"/>
      <c r="AF98" s="13"/>
      <c r="AG98" s="13"/>
      <c r="AH98" s="13"/>
      <c r="AI98" s="13"/>
      <c r="AJ98" s="9" t="s">
        <v>43</v>
      </c>
      <c r="AK98" s="13"/>
      <c r="AL98" s="13"/>
    </row>
    <row r="99">
      <c r="A99" s="9">
        <v>98.0</v>
      </c>
      <c r="B99" s="9">
        <v>1106.0</v>
      </c>
      <c r="C99" s="13"/>
      <c r="D99" s="13"/>
      <c r="E99" s="13"/>
      <c r="F99" s="18"/>
      <c r="G99" s="12"/>
      <c r="H99" s="10">
        <v>45450.0</v>
      </c>
      <c r="I99" s="12"/>
      <c r="J99" s="10">
        <v>44530.0</v>
      </c>
      <c r="K99" s="9" t="s">
        <v>31</v>
      </c>
      <c r="L99" s="9">
        <v>20.0</v>
      </c>
      <c r="M99" s="9">
        <v>29.0</v>
      </c>
      <c r="N99" s="13">
        <f t="shared" si="34"/>
        <v>30</v>
      </c>
      <c r="O99" s="9">
        <f t="shared" ref="O99:O101" si="42">countif(M:M,A99)</f>
        <v>0</v>
      </c>
      <c r="P99" s="9">
        <f t="shared" si="5"/>
        <v>0</v>
      </c>
      <c r="Q99" s="20">
        <f t="shared" si="39"/>
        <v>46012</v>
      </c>
      <c r="R99" s="9" t="str">
        <f t="array" ref="R99">if("m"=K99,"X",if(or(countif(Cull!A:A,B:B)&gt;0,"X"= XLOOKUP(M:M,A:A,R:R)),"X",""))</f>
        <v>#REF!</v>
      </c>
      <c r="S99" s="13"/>
      <c r="T99" s="9"/>
      <c r="U99" s="9"/>
      <c r="V99" s="9"/>
      <c r="W99" s="9"/>
      <c r="X99" s="9"/>
      <c r="Y99" s="9"/>
      <c r="Z99" s="9"/>
      <c r="AA99" s="9" t="s">
        <v>46</v>
      </c>
      <c r="AB99" s="9" t="s">
        <v>136</v>
      </c>
      <c r="AC99" s="13"/>
      <c r="AD99" s="13"/>
      <c r="AE99" s="13"/>
      <c r="AF99" s="13"/>
      <c r="AG99" s="13"/>
      <c r="AH99" s="13"/>
      <c r="AI99" s="13"/>
      <c r="AJ99" s="9" t="s">
        <v>43</v>
      </c>
      <c r="AK99" s="13"/>
      <c r="AL99" s="13"/>
    </row>
    <row r="100">
      <c r="A100" s="9">
        <v>99.0</v>
      </c>
      <c r="B100" s="9">
        <v>1107.0</v>
      </c>
      <c r="C100" s="13"/>
      <c r="D100" s="13"/>
      <c r="E100" s="13"/>
      <c r="F100" s="18"/>
      <c r="G100" s="12"/>
      <c r="H100" s="10">
        <v>45826.0</v>
      </c>
      <c r="I100" s="12"/>
      <c r="J100" s="10">
        <v>44530.0</v>
      </c>
      <c r="K100" s="9" t="s">
        <v>31</v>
      </c>
      <c r="L100" s="9">
        <v>20.0</v>
      </c>
      <c r="M100" s="9">
        <v>29.0</v>
      </c>
      <c r="N100" s="13">
        <f t="shared" si="34"/>
        <v>30</v>
      </c>
      <c r="O100" s="9">
        <f t="shared" si="42"/>
        <v>3</v>
      </c>
      <c r="P100" s="9">
        <f t="shared" si="5"/>
        <v>2</v>
      </c>
      <c r="Q100" s="9">
        <f t="shared" si="39"/>
        <v>266</v>
      </c>
      <c r="R100" s="9" t="str">
        <f t="shared" ref="R100:R104" si="43">if(if("m"=K100,true,countif(Cull!A:A,B:B)&gt;0),"X","")</f>
        <v>#REF!</v>
      </c>
      <c r="S100" s="28"/>
      <c r="T100" s="9"/>
      <c r="U100" s="9"/>
      <c r="V100" s="9"/>
      <c r="W100" s="9"/>
      <c r="X100" s="9"/>
      <c r="Y100" s="9" t="s">
        <v>43</v>
      </c>
      <c r="Z100" s="9" t="s">
        <v>43</v>
      </c>
      <c r="AA100" s="9" t="s">
        <v>39</v>
      </c>
      <c r="AB100" s="13"/>
      <c r="AC100" s="13"/>
      <c r="AD100" s="13"/>
      <c r="AE100" s="13"/>
      <c r="AF100" s="13"/>
      <c r="AG100" s="13"/>
      <c r="AH100" s="13"/>
      <c r="AI100" s="13"/>
      <c r="AJ100" s="9" t="s">
        <v>43</v>
      </c>
      <c r="AK100" s="13"/>
      <c r="AL100" s="13"/>
    </row>
    <row r="101">
      <c r="A101" s="9">
        <v>100.0</v>
      </c>
      <c r="B101" s="9">
        <v>1114.0</v>
      </c>
      <c r="C101" s="13"/>
      <c r="F101" s="18"/>
      <c r="G101" s="12"/>
      <c r="H101" s="18"/>
      <c r="I101" s="12"/>
      <c r="J101" s="10">
        <v>44542.0</v>
      </c>
      <c r="K101" s="9" t="s">
        <v>31</v>
      </c>
      <c r="L101" s="9">
        <v>20.0</v>
      </c>
      <c r="M101" s="9">
        <v>10.0</v>
      </c>
      <c r="N101" s="13">
        <f t="shared" si="34"/>
        <v>1006</v>
      </c>
      <c r="O101" s="9">
        <f t="shared" si="42"/>
        <v>4</v>
      </c>
      <c r="P101" s="9">
        <f t="shared" si="5"/>
        <v>3</v>
      </c>
      <c r="Q101" s="9">
        <f t="shared" si="39"/>
        <v>341</v>
      </c>
      <c r="R101" s="9" t="str">
        <f t="shared" si="43"/>
        <v>#REF!</v>
      </c>
      <c r="S101" s="19" t="s">
        <v>137</v>
      </c>
      <c r="T101" s="9" t="s">
        <v>43</v>
      </c>
      <c r="U101" s="9"/>
      <c r="V101" s="9"/>
      <c r="W101" s="9" t="s">
        <v>43</v>
      </c>
      <c r="X101" s="9"/>
      <c r="Y101" s="9"/>
      <c r="Z101" s="9" t="s">
        <v>43</v>
      </c>
      <c r="AA101" s="9" t="s">
        <v>39</v>
      </c>
      <c r="AF101" s="13"/>
      <c r="AG101" s="13"/>
      <c r="AH101" s="13"/>
      <c r="AJ101" s="9" t="s">
        <v>43</v>
      </c>
    </row>
    <row r="102">
      <c r="A102" s="9">
        <v>101.0</v>
      </c>
      <c r="B102" s="9">
        <v>1116.0</v>
      </c>
      <c r="C102" s="9" t="s">
        <v>132</v>
      </c>
      <c r="D102" s="13"/>
      <c r="E102" s="13"/>
      <c r="F102" s="18"/>
      <c r="G102" s="12"/>
      <c r="H102" s="10">
        <v>44870.0</v>
      </c>
      <c r="I102" s="12"/>
      <c r="J102" s="10">
        <v>44589.0</v>
      </c>
      <c r="K102" s="9" t="s">
        <v>49</v>
      </c>
      <c r="L102" s="9">
        <v>20.0</v>
      </c>
      <c r="M102" s="9">
        <v>59.0</v>
      </c>
      <c r="N102" s="13">
        <f t="shared" si="34"/>
        <v>1027</v>
      </c>
      <c r="O102" s="13"/>
      <c r="P102" s="9">
        <f t="shared" si="5"/>
        <v>0</v>
      </c>
      <c r="Q102" s="20">
        <f t="shared" si="39"/>
        <v>46012</v>
      </c>
      <c r="R102" s="9" t="str">
        <f t="shared" si="43"/>
        <v>X</v>
      </c>
      <c r="S102" s="9" t="s">
        <v>37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</row>
    <row r="103">
      <c r="A103" s="9">
        <v>102.0</v>
      </c>
      <c r="B103" s="9">
        <v>1117.0</v>
      </c>
      <c r="C103" s="9" t="s">
        <v>132</v>
      </c>
      <c r="D103" s="13"/>
      <c r="E103" s="13"/>
      <c r="F103" s="18"/>
      <c r="G103" s="12"/>
      <c r="H103" s="10">
        <v>44870.0</v>
      </c>
      <c r="I103" s="12"/>
      <c r="J103" s="10">
        <v>44602.0</v>
      </c>
      <c r="K103" s="9" t="s">
        <v>49</v>
      </c>
      <c r="L103" s="9">
        <v>20.0</v>
      </c>
      <c r="M103" s="9">
        <v>9.0</v>
      </c>
      <c r="N103" s="13" t="str">
        <f t="shared" si="34"/>
        <v>000017</v>
      </c>
      <c r="O103" s="13"/>
      <c r="P103" s="9">
        <f t="shared" si="5"/>
        <v>0</v>
      </c>
      <c r="Q103" s="20">
        <f t="shared" si="39"/>
        <v>46012</v>
      </c>
      <c r="R103" s="9" t="str">
        <f t="shared" si="43"/>
        <v>X</v>
      </c>
      <c r="S103" s="9" t="s">
        <v>138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</row>
    <row r="104">
      <c r="A104" s="9">
        <v>103.0</v>
      </c>
      <c r="B104" s="9">
        <v>1115.0</v>
      </c>
      <c r="C104" s="9" t="s">
        <v>132</v>
      </c>
      <c r="F104" s="18"/>
      <c r="G104" s="12"/>
      <c r="H104" s="18"/>
      <c r="I104" s="12"/>
      <c r="J104" s="10">
        <v>44602.0</v>
      </c>
      <c r="K104" s="9" t="s">
        <v>31</v>
      </c>
      <c r="L104" s="9">
        <v>20.0</v>
      </c>
      <c r="M104" s="9">
        <v>9.0</v>
      </c>
      <c r="N104" s="13" t="str">
        <f t="shared" si="34"/>
        <v>000017</v>
      </c>
      <c r="O104" s="9">
        <f>countif(M:M,A104)</f>
        <v>2</v>
      </c>
      <c r="P104" s="9">
        <f t="shared" si="5"/>
        <v>0</v>
      </c>
      <c r="Q104" s="9">
        <f t="shared" si="39"/>
        <v>325</v>
      </c>
      <c r="R104" s="9" t="str">
        <f t="shared" si="43"/>
        <v>#REF!</v>
      </c>
      <c r="S104" s="19" t="s">
        <v>139</v>
      </c>
      <c r="T104" s="9"/>
      <c r="U104" s="9"/>
      <c r="V104" s="9"/>
      <c r="W104" s="9" t="s">
        <v>43</v>
      </c>
      <c r="X104" s="9"/>
      <c r="Y104" s="9"/>
      <c r="Z104" s="9" t="s">
        <v>43</v>
      </c>
      <c r="AA104" s="9" t="s">
        <v>39</v>
      </c>
      <c r="AF104" s="13"/>
      <c r="AG104" s="13"/>
      <c r="AH104" s="13"/>
    </row>
    <row r="105">
      <c r="A105" s="9">
        <v>104.0</v>
      </c>
      <c r="B105" s="13"/>
      <c r="C105" s="13"/>
      <c r="D105" s="13"/>
      <c r="E105" s="13"/>
      <c r="F105" s="18"/>
      <c r="G105" s="12"/>
      <c r="H105" s="10">
        <v>44870.0</v>
      </c>
      <c r="I105" s="12"/>
      <c r="J105" s="10">
        <v>44667.0</v>
      </c>
      <c r="K105" s="9" t="s">
        <v>49</v>
      </c>
      <c r="L105" s="9">
        <v>93.0</v>
      </c>
      <c r="M105" s="13"/>
      <c r="N105" s="13" t="str">
        <f t="shared" si="34"/>
        <v>#N/A</v>
      </c>
      <c r="O105" s="13"/>
      <c r="P105" s="9">
        <f t="shared" si="5"/>
        <v>0</v>
      </c>
      <c r="Q105" s="9"/>
      <c r="R105" s="9" t="str">
        <f t="shared" ref="R105:R106" si="44">if("m"=K105,"X",if(or(countif(Cull!A:A,B:B)&gt;0,"X"= XLOOKUP(M:M,A:A,R:R)),"X",""))</f>
        <v>X</v>
      </c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</row>
    <row r="106">
      <c r="A106" s="9">
        <v>105.0</v>
      </c>
      <c r="C106" s="13"/>
      <c r="F106" s="18"/>
      <c r="G106" s="12"/>
      <c r="H106" s="18"/>
      <c r="I106" s="12"/>
      <c r="J106" s="10">
        <v>44667.0</v>
      </c>
      <c r="K106" s="9" t="s">
        <v>31</v>
      </c>
      <c r="L106" s="9">
        <v>93.0</v>
      </c>
      <c r="N106" s="13" t="str">
        <f t="shared" si="34"/>
        <v>#N/A</v>
      </c>
      <c r="O106" s="9">
        <f>countif(M:M,A106)</f>
        <v>0</v>
      </c>
      <c r="P106" s="9">
        <f t="shared" si="5"/>
        <v>0</v>
      </c>
      <c r="Q106" s="9"/>
      <c r="R106" s="9" t="str">
        <f t="shared" si="44"/>
        <v>#REF!</v>
      </c>
      <c r="Z106" s="13"/>
      <c r="AA106" s="13"/>
      <c r="AF106" s="13"/>
      <c r="AG106" s="13"/>
      <c r="AH106" s="13"/>
    </row>
    <row r="107">
      <c r="A107" s="9">
        <v>106.0</v>
      </c>
      <c r="B107" s="9">
        <v>1124.0</v>
      </c>
      <c r="C107" s="13"/>
      <c r="D107" s="13"/>
      <c r="E107" s="13"/>
      <c r="F107" s="18"/>
      <c r="G107" s="12"/>
      <c r="H107" s="10">
        <v>44839.0</v>
      </c>
      <c r="I107" s="12"/>
      <c r="J107" s="10">
        <v>44673.0</v>
      </c>
      <c r="K107" s="9" t="s">
        <v>49</v>
      </c>
      <c r="L107" s="9">
        <v>93.0</v>
      </c>
      <c r="M107" s="9">
        <v>19.0</v>
      </c>
      <c r="N107" s="13" t="str">
        <f t="shared" si="34"/>
        <v>000008</v>
      </c>
      <c r="O107" s="13"/>
      <c r="P107" s="9">
        <f t="shared" si="5"/>
        <v>0</v>
      </c>
      <c r="Q107" s="20">
        <f t="shared" ref="Q107:Q108" si="45">today()-xlookup(A107,M:M,J:J,"",0,-1)</f>
        <v>46012</v>
      </c>
      <c r="R107" s="9" t="str">
        <f t="shared" ref="R107:R108" si="46">if(if("m"=K107,true,countif(Cull!A:A,B:B)&gt;0),"X","")</f>
        <v>X</v>
      </c>
      <c r="S107" s="9" t="s">
        <v>140</v>
      </c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</row>
    <row r="108">
      <c r="A108" s="9">
        <v>107.0</v>
      </c>
      <c r="B108" s="9">
        <v>1128.0</v>
      </c>
      <c r="C108" s="13"/>
      <c r="D108" s="13"/>
      <c r="E108" s="13"/>
      <c r="F108" s="18"/>
      <c r="G108" s="12"/>
      <c r="H108" s="10">
        <v>44870.0</v>
      </c>
      <c r="I108" s="12"/>
      <c r="J108" s="10">
        <v>44673.0</v>
      </c>
      <c r="K108" s="9" t="s">
        <v>49</v>
      </c>
      <c r="L108" s="9">
        <v>93.0</v>
      </c>
      <c r="M108" s="9">
        <v>19.0</v>
      </c>
      <c r="N108" s="13" t="str">
        <f t="shared" si="34"/>
        <v>000008</v>
      </c>
      <c r="O108" s="13"/>
      <c r="P108" s="9">
        <f t="shared" si="5"/>
        <v>0</v>
      </c>
      <c r="Q108" s="20">
        <f t="shared" si="45"/>
        <v>46012</v>
      </c>
      <c r="R108" s="9" t="str">
        <f t="shared" si="46"/>
        <v>X</v>
      </c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</row>
    <row r="109">
      <c r="A109" s="9">
        <v>108.0</v>
      </c>
      <c r="B109" s="13"/>
      <c r="C109" s="13"/>
      <c r="D109" s="13"/>
      <c r="E109" s="13"/>
      <c r="F109" s="18"/>
      <c r="G109" s="12"/>
      <c r="H109" s="10">
        <v>44870.0</v>
      </c>
      <c r="I109" s="12"/>
      <c r="J109" s="18"/>
      <c r="K109" s="9" t="s">
        <v>49</v>
      </c>
      <c r="L109" s="9">
        <v>93.0</v>
      </c>
      <c r="M109" s="13"/>
      <c r="N109" s="13" t="str">
        <f t="shared" si="34"/>
        <v>#N/A</v>
      </c>
      <c r="O109" s="13"/>
      <c r="P109" s="9">
        <f t="shared" si="5"/>
        <v>0</v>
      </c>
      <c r="Q109" s="9"/>
      <c r="R109" s="9" t="str">
        <f t="shared" ref="R109:R110" si="47">if("m"=K109,"X",if(or(countif(Cull!A:A,B:B)&gt;0,"X"= XLOOKUP(M:M,A:A,R:R)),"X",""))</f>
        <v>X</v>
      </c>
      <c r="S109" s="9" t="s">
        <v>141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</row>
    <row r="110">
      <c r="A110" s="9">
        <v>109.0</v>
      </c>
      <c r="B110" s="13"/>
      <c r="C110" s="13"/>
      <c r="D110" s="13"/>
      <c r="E110" s="13"/>
      <c r="F110" s="18"/>
      <c r="G110" s="12"/>
      <c r="H110" s="10">
        <v>44870.0</v>
      </c>
      <c r="I110" s="12"/>
      <c r="J110" s="18"/>
      <c r="K110" s="9" t="s">
        <v>49</v>
      </c>
      <c r="L110" s="9">
        <v>93.0</v>
      </c>
      <c r="M110" s="13"/>
      <c r="N110" s="13" t="str">
        <f t="shared" si="34"/>
        <v>#N/A</v>
      </c>
      <c r="O110" s="13"/>
      <c r="P110" s="9">
        <f t="shared" si="5"/>
        <v>0</v>
      </c>
      <c r="Q110" s="9"/>
      <c r="R110" s="9" t="str">
        <f t="shared" si="47"/>
        <v>X</v>
      </c>
      <c r="S110" s="9" t="s">
        <v>141</v>
      </c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</row>
    <row r="111">
      <c r="A111" s="9">
        <v>110.0</v>
      </c>
      <c r="B111" s="9">
        <v>1122.0</v>
      </c>
      <c r="C111" s="13"/>
      <c r="F111" s="18"/>
      <c r="G111" s="12"/>
      <c r="H111" s="18"/>
      <c r="I111" s="12"/>
      <c r="J111" s="10">
        <v>44679.0</v>
      </c>
      <c r="K111" s="9" t="s">
        <v>31</v>
      </c>
      <c r="L111" s="9">
        <v>93.0</v>
      </c>
      <c r="M111" s="9">
        <v>34.0</v>
      </c>
      <c r="N111" s="13">
        <f t="shared" si="34"/>
        <v>1376</v>
      </c>
      <c r="O111" s="9">
        <f>countif(M:M,A111)</f>
        <v>0</v>
      </c>
      <c r="P111" s="9">
        <f t="shared" si="5"/>
        <v>0</v>
      </c>
      <c r="Q111" s="20">
        <f t="shared" ref="Q111:Q164" si="48">today()-xlookup(A111,M:M,J:J,"",0,-1)</f>
        <v>46012</v>
      </c>
      <c r="R111" s="9" t="str">
        <f t="shared" ref="R111:R114" si="49">if(if("m"=K111,true,countif(Cull!A:A,B:B)&gt;0),"X","")</f>
        <v>#REF!</v>
      </c>
      <c r="S111" s="28"/>
      <c r="Z111" s="13"/>
      <c r="AA111" s="13"/>
      <c r="AF111" s="13"/>
      <c r="AG111" s="13"/>
      <c r="AH111" s="13"/>
    </row>
    <row r="112">
      <c r="A112" s="9">
        <v>111.0</v>
      </c>
      <c r="B112" s="9">
        <v>1123.0</v>
      </c>
      <c r="C112" s="13"/>
      <c r="D112" s="13"/>
      <c r="E112" s="13"/>
      <c r="F112" s="18"/>
      <c r="G112" s="12"/>
      <c r="H112" s="10">
        <v>44870.0</v>
      </c>
      <c r="I112" s="12"/>
      <c r="J112" s="10">
        <v>44679.0</v>
      </c>
      <c r="K112" s="9" t="s">
        <v>49</v>
      </c>
      <c r="L112" s="9">
        <v>93.0</v>
      </c>
      <c r="M112" s="9">
        <v>34.0</v>
      </c>
      <c r="N112" s="13">
        <f t="shared" si="34"/>
        <v>1376</v>
      </c>
      <c r="O112" s="13"/>
      <c r="P112" s="9">
        <f t="shared" si="5"/>
        <v>0</v>
      </c>
      <c r="Q112" s="20">
        <f t="shared" si="48"/>
        <v>46012</v>
      </c>
      <c r="R112" s="9" t="str">
        <f t="shared" si="49"/>
        <v>X</v>
      </c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</row>
    <row r="113">
      <c r="A113" s="9">
        <v>112.0</v>
      </c>
      <c r="B113" s="9">
        <v>1119.0</v>
      </c>
      <c r="C113" s="13"/>
      <c r="F113" s="18"/>
      <c r="G113" s="12"/>
      <c r="H113" s="18"/>
      <c r="I113" s="12"/>
      <c r="J113" s="10">
        <v>44680.0</v>
      </c>
      <c r="K113" s="9" t="s">
        <v>31</v>
      </c>
      <c r="L113" s="9">
        <v>93.0</v>
      </c>
      <c r="M113" s="9">
        <v>33.0</v>
      </c>
      <c r="N113" s="13">
        <f t="shared" si="34"/>
        <v>1118</v>
      </c>
      <c r="O113" s="9">
        <f t="shared" ref="O113:O119" si="50">countif(M:M,A113)</f>
        <v>3</v>
      </c>
      <c r="P113" s="9">
        <f t="shared" si="5"/>
        <v>2</v>
      </c>
      <c r="Q113" s="9">
        <f t="shared" si="48"/>
        <v>336</v>
      </c>
      <c r="R113" s="9" t="str">
        <f t="shared" si="49"/>
        <v>#REF!</v>
      </c>
      <c r="S113" s="28"/>
      <c r="T113" s="9" t="s">
        <v>43</v>
      </c>
      <c r="U113" s="9"/>
      <c r="V113" s="9"/>
      <c r="W113" s="9" t="s">
        <v>43</v>
      </c>
      <c r="X113" s="9"/>
      <c r="Y113" s="9"/>
      <c r="Z113" s="9" t="s">
        <v>43</v>
      </c>
      <c r="AA113" s="9" t="s">
        <v>39</v>
      </c>
      <c r="AF113" s="13"/>
      <c r="AG113" s="13"/>
      <c r="AH113" s="13"/>
    </row>
    <row r="114">
      <c r="A114" s="9">
        <v>113.0</v>
      </c>
      <c r="B114" s="9">
        <v>1120.0</v>
      </c>
      <c r="C114" s="13"/>
      <c r="F114" s="18"/>
      <c r="G114" s="12"/>
      <c r="H114" s="18"/>
      <c r="I114" s="12"/>
      <c r="J114" s="10">
        <v>44680.0</v>
      </c>
      <c r="K114" s="9" t="s">
        <v>31</v>
      </c>
      <c r="L114" s="9">
        <v>93.0</v>
      </c>
      <c r="M114" s="9">
        <v>33.0</v>
      </c>
      <c r="N114" s="13">
        <f t="shared" si="34"/>
        <v>1118</v>
      </c>
      <c r="O114" s="9">
        <f t="shared" si="50"/>
        <v>2</v>
      </c>
      <c r="P114" s="9">
        <f t="shared" si="5"/>
        <v>1</v>
      </c>
      <c r="Q114" s="9">
        <f t="shared" si="48"/>
        <v>324</v>
      </c>
      <c r="R114" s="9" t="str">
        <f t="shared" si="49"/>
        <v>#REF!</v>
      </c>
      <c r="S114" s="28"/>
      <c r="T114" s="9"/>
      <c r="U114" s="9"/>
      <c r="V114" s="9"/>
      <c r="W114" s="9" t="s">
        <v>43</v>
      </c>
      <c r="X114" s="9"/>
      <c r="Y114" s="9"/>
      <c r="Z114" s="9" t="s">
        <v>43</v>
      </c>
      <c r="AA114" s="9" t="s">
        <v>39</v>
      </c>
      <c r="AF114" s="13"/>
      <c r="AG114" s="13"/>
      <c r="AH114" s="13"/>
    </row>
    <row r="115">
      <c r="A115" s="9">
        <v>114.0</v>
      </c>
      <c r="B115" s="9">
        <v>1125.0</v>
      </c>
      <c r="C115" s="13"/>
      <c r="D115" s="13"/>
      <c r="E115" s="13"/>
      <c r="F115" s="18"/>
      <c r="G115" s="12"/>
      <c r="H115" s="10">
        <v>45450.0</v>
      </c>
      <c r="I115" s="12"/>
      <c r="J115" s="10">
        <v>44704.0</v>
      </c>
      <c r="K115" s="9" t="s">
        <v>31</v>
      </c>
      <c r="L115" s="9">
        <v>93.0</v>
      </c>
      <c r="M115" s="9">
        <v>4.0</v>
      </c>
      <c r="N115" s="13" t="str">
        <f t="shared" si="34"/>
        <v>000002</v>
      </c>
      <c r="O115" s="9">
        <f t="shared" si="50"/>
        <v>1</v>
      </c>
      <c r="P115" s="9">
        <f t="shared" si="5"/>
        <v>0</v>
      </c>
      <c r="Q115" s="9">
        <f t="shared" si="48"/>
        <v>666</v>
      </c>
      <c r="R115" s="9" t="str">
        <f t="array" ref="R115">if("m"=K115,"X",if(or(countif(Cull!A:A,B:B)&gt;0,"X"= XLOOKUP(M:M,A:A,R:R)),"X",""))</f>
        <v>#REF!</v>
      </c>
      <c r="S115" s="9" t="s">
        <v>142</v>
      </c>
      <c r="T115" s="9"/>
      <c r="U115" s="9"/>
      <c r="V115" s="9"/>
      <c r="W115" s="9"/>
      <c r="X115" s="9"/>
      <c r="Y115" s="9"/>
      <c r="Z115" s="9"/>
      <c r="AA115" s="9" t="s">
        <v>46</v>
      </c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</row>
    <row r="116">
      <c r="A116" s="9">
        <v>115.0</v>
      </c>
      <c r="B116" s="9">
        <v>1126.0</v>
      </c>
      <c r="C116" s="13"/>
      <c r="F116" s="18"/>
      <c r="G116" s="12"/>
      <c r="H116" s="18"/>
      <c r="I116" s="12"/>
      <c r="J116" s="10">
        <v>44704.0</v>
      </c>
      <c r="K116" s="9" t="s">
        <v>31</v>
      </c>
      <c r="L116" s="9">
        <v>93.0</v>
      </c>
      <c r="M116" s="9">
        <v>4.0</v>
      </c>
      <c r="N116" s="13" t="str">
        <f t="shared" si="34"/>
        <v>000002</v>
      </c>
      <c r="O116" s="9">
        <f t="shared" si="50"/>
        <v>1</v>
      </c>
      <c r="P116" s="9">
        <f t="shared" si="5"/>
        <v>1</v>
      </c>
      <c r="Q116" s="9">
        <f t="shared" si="48"/>
        <v>321</v>
      </c>
      <c r="R116" s="9" t="str">
        <f t="shared" ref="R116:R118" si="51">if(if("m"=K116,true,countif(Cull!A:A,B:B)&gt;0),"X","")</f>
        <v>#REF!</v>
      </c>
      <c r="S116" s="19" t="s">
        <v>142</v>
      </c>
      <c r="T116" s="9"/>
      <c r="U116" s="9"/>
      <c r="V116" s="9"/>
      <c r="W116" s="9" t="s">
        <v>43</v>
      </c>
      <c r="X116" s="9"/>
      <c r="Y116" s="9"/>
      <c r="Z116" s="9" t="s">
        <v>43</v>
      </c>
      <c r="AA116" s="13"/>
      <c r="AF116" s="13"/>
      <c r="AG116" s="13"/>
      <c r="AH116" s="13"/>
    </row>
    <row r="117">
      <c r="A117" s="9">
        <v>116.0</v>
      </c>
      <c r="B117" s="9">
        <v>1127.0</v>
      </c>
      <c r="C117" s="13"/>
      <c r="F117" s="18"/>
      <c r="G117" s="12"/>
      <c r="H117" s="18"/>
      <c r="I117" s="12"/>
      <c r="J117" s="10">
        <v>44704.0</v>
      </c>
      <c r="K117" s="9" t="s">
        <v>31</v>
      </c>
      <c r="L117" s="9">
        <v>93.0</v>
      </c>
      <c r="M117" s="9">
        <v>4.0</v>
      </c>
      <c r="N117" s="13" t="str">
        <f t="shared" si="34"/>
        <v>000002</v>
      </c>
      <c r="O117" s="9">
        <f t="shared" si="50"/>
        <v>0</v>
      </c>
      <c r="P117" s="9">
        <f t="shared" si="5"/>
        <v>0</v>
      </c>
      <c r="Q117" s="20">
        <f t="shared" si="48"/>
        <v>46012</v>
      </c>
      <c r="R117" s="9" t="str">
        <f t="shared" si="51"/>
        <v>#REF!</v>
      </c>
      <c r="S117" s="19" t="s">
        <v>142</v>
      </c>
      <c r="Z117" s="13"/>
      <c r="AA117" s="13"/>
      <c r="AF117" s="13"/>
      <c r="AG117" s="13"/>
      <c r="AH117" s="13"/>
    </row>
    <row r="118">
      <c r="A118" s="9">
        <v>117.0</v>
      </c>
      <c r="B118" s="9">
        <v>1129.0</v>
      </c>
      <c r="C118" s="13"/>
      <c r="F118" s="18"/>
      <c r="G118" s="12"/>
      <c r="H118" s="18"/>
      <c r="I118" s="12"/>
      <c r="J118" s="18"/>
      <c r="K118" s="13"/>
      <c r="L118" s="9">
        <v>93.0</v>
      </c>
      <c r="M118" s="9">
        <v>21.0</v>
      </c>
      <c r="N118" s="13" t="str">
        <f t="shared" si="34"/>
        <v>000013</v>
      </c>
      <c r="O118" s="9">
        <f t="shared" si="50"/>
        <v>2</v>
      </c>
      <c r="P118" s="9">
        <f t="shared" si="5"/>
        <v>1</v>
      </c>
      <c r="Q118" s="9">
        <f t="shared" si="48"/>
        <v>338</v>
      </c>
      <c r="R118" s="9" t="str">
        <f t="shared" si="51"/>
        <v>#REF!</v>
      </c>
      <c r="S118" s="19" t="s">
        <v>141</v>
      </c>
      <c r="T118" s="9" t="s">
        <v>143</v>
      </c>
      <c r="U118" s="9"/>
      <c r="V118" s="9"/>
      <c r="W118" s="9" t="s">
        <v>43</v>
      </c>
      <c r="X118" s="9"/>
      <c r="Y118" s="9"/>
      <c r="Z118" s="9" t="s">
        <v>43</v>
      </c>
      <c r="AA118" s="9" t="s">
        <v>39</v>
      </c>
      <c r="AF118" s="13"/>
      <c r="AG118" s="13"/>
      <c r="AH118" s="13"/>
    </row>
    <row r="119">
      <c r="A119" s="9">
        <v>118.0</v>
      </c>
      <c r="B119" s="9">
        <v>1140.0</v>
      </c>
      <c r="C119" s="13"/>
      <c r="D119" s="13"/>
      <c r="E119" s="13"/>
      <c r="F119" s="18"/>
      <c r="G119" s="12"/>
      <c r="H119" s="9" t="s">
        <v>103</v>
      </c>
      <c r="I119" s="12"/>
      <c r="J119" s="18"/>
      <c r="K119" s="9" t="s">
        <v>49</v>
      </c>
      <c r="L119" s="9">
        <v>93.0</v>
      </c>
      <c r="M119" s="9">
        <v>21.0</v>
      </c>
      <c r="N119" s="13" t="str">
        <f t="shared" si="34"/>
        <v>000013</v>
      </c>
      <c r="O119" s="9">
        <f t="shared" si="50"/>
        <v>0</v>
      </c>
      <c r="P119" s="9">
        <f t="shared" si="5"/>
        <v>0</v>
      </c>
      <c r="Q119" s="20">
        <f t="shared" si="48"/>
        <v>46012</v>
      </c>
      <c r="R119" s="9" t="str">
        <f t="array" ref="R119">if("m"=K119,"X",if(or(countif(Cull!A:A,B:B)&gt;0,"X"= XLOOKUP(M:M,A:A,R:R)),"X",""))</f>
        <v>X</v>
      </c>
      <c r="S119" s="9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</row>
    <row r="120">
      <c r="A120" s="9">
        <v>119.0</v>
      </c>
      <c r="B120" s="9">
        <v>1130.0</v>
      </c>
      <c r="C120" s="13"/>
      <c r="D120" s="13"/>
      <c r="E120" s="13"/>
      <c r="F120" s="18"/>
      <c r="G120" s="12"/>
      <c r="H120" s="10">
        <v>44870.0</v>
      </c>
      <c r="I120" s="12"/>
      <c r="J120" s="18"/>
      <c r="K120" s="9" t="s">
        <v>49</v>
      </c>
      <c r="L120" s="9">
        <v>93.0</v>
      </c>
      <c r="M120" s="9">
        <v>43.0</v>
      </c>
      <c r="N120" s="13">
        <f t="shared" si="34"/>
        <v>1015</v>
      </c>
      <c r="O120" s="13"/>
      <c r="P120" s="9">
        <f t="shared" si="5"/>
        <v>0</v>
      </c>
      <c r="Q120" s="20">
        <f t="shared" si="48"/>
        <v>46012</v>
      </c>
      <c r="R120" s="9" t="str">
        <f t="shared" ref="R120:R123" si="52">if(if("m"=K120,true,countif(Cull!A:A,B:B)&gt;0),"X","")</f>
        <v>X</v>
      </c>
      <c r="S120" s="9" t="s">
        <v>144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</row>
    <row r="121">
      <c r="A121" s="9">
        <v>120.0</v>
      </c>
      <c r="B121" s="9">
        <v>1131.0</v>
      </c>
      <c r="C121" s="13"/>
      <c r="D121" s="13"/>
      <c r="E121" s="13"/>
      <c r="F121" s="18"/>
      <c r="G121" s="12"/>
      <c r="H121" s="10">
        <v>45801.0</v>
      </c>
      <c r="I121" s="12"/>
      <c r="J121" s="18"/>
      <c r="K121" s="9" t="s">
        <v>31</v>
      </c>
      <c r="L121" s="9">
        <v>93.0</v>
      </c>
      <c r="M121" s="9">
        <v>43.0</v>
      </c>
      <c r="N121" s="13">
        <f t="shared" si="34"/>
        <v>1015</v>
      </c>
      <c r="O121" s="9">
        <f>countif(M:M,A121)</f>
        <v>2</v>
      </c>
      <c r="P121" s="9">
        <f t="shared" si="5"/>
        <v>1</v>
      </c>
      <c r="Q121" s="9">
        <f t="shared" si="48"/>
        <v>319</v>
      </c>
      <c r="R121" s="9" t="str">
        <f t="shared" si="52"/>
        <v>#REF!</v>
      </c>
      <c r="S121" s="19" t="s">
        <v>144</v>
      </c>
      <c r="T121" s="9"/>
      <c r="U121" s="9"/>
      <c r="V121" s="9"/>
      <c r="W121" s="9" t="s">
        <v>43</v>
      </c>
      <c r="X121" s="9"/>
      <c r="Y121" s="9"/>
      <c r="Z121" s="9" t="s">
        <v>43</v>
      </c>
      <c r="AA121" s="9" t="s">
        <v>39</v>
      </c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</row>
    <row r="122">
      <c r="A122" s="9">
        <v>121.0</v>
      </c>
      <c r="B122" s="9">
        <v>1132.0</v>
      </c>
      <c r="C122" s="13"/>
      <c r="D122" s="13"/>
      <c r="E122" s="13"/>
      <c r="F122" s="18"/>
      <c r="G122" s="12"/>
      <c r="H122" s="10">
        <v>44882.0</v>
      </c>
      <c r="I122" s="12"/>
      <c r="J122" s="18"/>
      <c r="K122" s="9" t="s">
        <v>49</v>
      </c>
      <c r="L122" s="9">
        <v>93.0</v>
      </c>
      <c r="M122" s="9">
        <v>1133.0</v>
      </c>
      <c r="N122" s="13" t="str">
        <f t="shared" si="34"/>
        <v>#N/A</v>
      </c>
      <c r="O122" s="13"/>
      <c r="P122" s="9">
        <f t="shared" si="5"/>
        <v>0</v>
      </c>
      <c r="Q122" s="20">
        <f t="shared" si="48"/>
        <v>46012</v>
      </c>
      <c r="R122" s="9" t="str">
        <f t="shared" si="52"/>
        <v>X</v>
      </c>
      <c r="S122" s="9" t="s">
        <v>141</v>
      </c>
      <c r="T122" s="9"/>
      <c r="U122" s="9"/>
      <c r="V122" s="9"/>
      <c r="W122" s="9"/>
      <c r="X122" s="9"/>
      <c r="Y122" s="9"/>
      <c r="Z122" s="9"/>
      <c r="AA122" s="9"/>
      <c r="AB122" s="9" t="s">
        <v>145</v>
      </c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</row>
    <row r="123">
      <c r="A123" s="9">
        <v>122.0</v>
      </c>
      <c r="B123" s="9">
        <v>1139.0</v>
      </c>
      <c r="C123" s="13"/>
      <c r="D123" s="13"/>
      <c r="E123" s="13"/>
      <c r="F123" s="18"/>
      <c r="G123" s="12"/>
      <c r="H123" s="10">
        <v>44804.0</v>
      </c>
      <c r="I123" s="12"/>
      <c r="J123" s="18"/>
      <c r="K123" s="9" t="s">
        <v>49</v>
      </c>
      <c r="L123" s="9">
        <v>93.0</v>
      </c>
      <c r="M123" s="9">
        <v>233.0</v>
      </c>
      <c r="N123" s="13">
        <f t="shared" si="34"/>
        <v>1138</v>
      </c>
      <c r="O123" s="13"/>
      <c r="P123" s="9">
        <f t="shared" si="5"/>
        <v>0</v>
      </c>
      <c r="Q123" s="20">
        <f t="shared" si="48"/>
        <v>46012</v>
      </c>
      <c r="R123" s="9" t="str">
        <f t="shared" si="52"/>
        <v>X</v>
      </c>
      <c r="S123" s="9" t="s">
        <v>140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</row>
    <row r="124">
      <c r="A124" s="9">
        <v>123.0</v>
      </c>
      <c r="B124" s="9">
        <v>1137.0</v>
      </c>
      <c r="C124" s="13"/>
      <c r="D124" s="13"/>
      <c r="E124" s="13"/>
      <c r="F124" s="18"/>
      <c r="G124" s="12"/>
      <c r="H124" s="9" t="s">
        <v>103</v>
      </c>
      <c r="I124" s="12"/>
      <c r="J124" s="18"/>
      <c r="K124" s="9" t="s">
        <v>49</v>
      </c>
      <c r="L124" s="9">
        <v>93.0</v>
      </c>
      <c r="M124" s="9">
        <v>233.0</v>
      </c>
      <c r="N124" s="13">
        <f t="shared" si="34"/>
        <v>1138</v>
      </c>
      <c r="O124" s="9">
        <f>countif(M:M,A124)</f>
        <v>0</v>
      </c>
      <c r="P124" s="9">
        <f t="shared" si="5"/>
        <v>0</v>
      </c>
      <c r="Q124" s="20">
        <f t="shared" si="48"/>
        <v>46012</v>
      </c>
      <c r="R124" s="9" t="str">
        <f t="array" ref="R124">if("m"=K124,"X",if(or(countif(Cull!A:A,B:B)&gt;0,"X"= XLOOKUP(M:M,A:A,R:R)),"X",""))</f>
        <v>X</v>
      </c>
      <c r="S124" s="9" t="s">
        <v>94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</row>
    <row r="125">
      <c r="A125" s="9">
        <v>124.0</v>
      </c>
      <c r="B125" s="9">
        <v>1136.0</v>
      </c>
      <c r="C125" s="13"/>
      <c r="D125" s="13"/>
      <c r="E125" s="13"/>
      <c r="F125" s="18"/>
      <c r="G125" s="12"/>
      <c r="H125" s="10">
        <v>44828.0</v>
      </c>
      <c r="I125" s="12"/>
      <c r="J125" s="18"/>
      <c r="K125" s="9" t="s">
        <v>49</v>
      </c>
      <c r="L125" s="9">
        <v>93.0</v>
      </c>
      <c r="M125" s="9">
        <v>22.0</v>
      </c>
      <c r="N125" s="13" t="str">
        <f t="shared" si="34"/>
        <v>000010</v>
      </c>
      <c r="O125" s="13"/>
      <c r="P125" s="9">
        <f t="shared" si="5"/>
        <v>0</v>
      </c>
      <c r="Q125" s="20">
        <f t="shared" si="48"/>
        <v>46012</v>
      </c>
      <c r="R125" s="9" t="str">
        <f t="shared" ref="R125:R126" si="53">if(if("m"=K125,true,countif(Cull!A:A,B:B)&gt;0),"X","")</f>
        <v>X</v>
      </c>
      <c r="S125" s="9" t="s">
        <v>140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</row>
    <row r="126">
      <c r="A126" s="9">
        <v>125.0</v>
      </c>
      <c r="B126" s="9">
        <v>1135.0</v>
      </c>
      <c r="C126" s="13"/>
      <c r="D126" s="13"/>
      <c r="E126" s="13"/>
      <c r="F126" s="18"/>
      <c r="G126" s="12"/>
      <c r="H126" s="10">
        <v>44828.0</v>
      </c>
      <c r="I126" s="12"/>
      <c r="J126" s="18"/>
      <c r="K126" s="9" t="s">
        <v>49</v>
      </c>
      <c r="L126" s="9">
        <v>93.0</v>
      </c>
      <c r="M126" s="9">
        <v>22.0</v>
      </c>
      <c r="N126" s="13" t="str">
        <f t="shared" si="34"/>
        <v>000010</v>
      </c>
      <c r="O126" s="13"/>
      <c r="P126" s="9">
        <f t="shared" si="5"/>
        <v>0</v>
      </c>
      <c r="Q126" s="20">
        <f t="shared" si="48"/>
        <v>46012</v>
      </c>
      <c r="R126" s="9" t="str">
        <f t="shared" si="53"/>
        <v>X</v>
      </c>
      <c r="S126" s="9" t="s">
        <v>140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</row>
    <row r="127">
      <c r="A127" s="9">
        <v>126.0</v>
      </c>
      <c r="B127" s="9">
        <v>1141.0</v>
      </c>
      <c r="C127" s="13"/>
      <c r="D127" s="13"/>
      <c r="E127" s="13"/>
      <c r="F127" s="18"/>
      <c r="G127" s="12"/>
      <c r="H127" s="9" t="s">
        <v>103</v>
      </c>
      <c r="I127" s="12"/>
      <c r="J127" s="18"/>
      <c r="K127" s="9" t="s">
        <v>49</v>
      </c>
      <c r="L127" s="9">
        <v>93.0</v>
      </c>
      <c r="M127" s="9">
        <v>34.0</v>
      </c>
      <c r="N127" s="13">
        <f t="shared" si="34"/>
        <v>1376</v>
      </c>
      <c r="O127" s="9">
        <f>countif(M:M,A127)</f>
        <v>0</v>
      </c>
      <c r="P127" s="9">
        <f t="shared" si="5"/>
        <v>0</v>
      </c>
      <c r="Q127" s="20">
        <f t="shared" si="48"/>
        <v>46012</v>
      </c>
      <c r="R127" s="9" t="str">
        <f t="shared" ref="R127:R131" si="54">if("m"=K127,"X",if(or(countif(Cull!A:A,B:B)&gt;0,"X"= XLOOKUP(M:M,A:A,R:R)),"X",""))</f>
        <v>X</v>
      </c>
      <c r="S127" s="9" t="s">
        <v>94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</row>
    <row r="128">
      <c r="A128" s="9">
        <v>127.0</v>
      </c>
      <c r="B128" s="9">
        <v>1164.0</v>
      </c>
      <c r="C128" s="13"/>
      <c r="D128" s="13"/>
      <c r="E128" s="13"/>
      <c r="F128" s="18"/>
      <c r="G128" s="12"/>
      <c r="H128" s="10">
        <v>45245.0</v>
      </c>
      <c r="I128" s="12"/>
      <c r="J128" s="13"/>
      <c r="K128" s="9" t="s">
        <v>49</v>
      </c>
      <c r="L128" s="9">
        <v>93.0</v>
      </c>
      <c r="M128" s="9">
        <v>23.0</v>
      </c>
      <c r="N128" s="13" t="str">
        <f t="shared" si="34"/>
        <v>000014</v>
      </c>
      <c r="O128" s="13"/>
      <c r="P128" s="9">
        <f t="shared" si="5"/>
        <v>0</v>
      </c>
      <c r="Q128" s="20">
        <f t="shared" si="48"/>
        <v>46012</v>
      </c>
      <c r="R128" s="9" t="str">
        <f t="shared" si="54"/>
        <v>X</v>
      </c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</row>
    <row r="129">
      <c r="A129" s="9">
        <v>128.0</v>
      </c>
      <c r="B129" s="9">
        <v>1165.0</v>
      </c>
      <c r="C129" s="13"/>
      <c r="D129" s="13"/>
      <c r="E129" s="13"/>
      <c r="F129" s="18"/>
      <c r="G129" s="12"/>
      <c r="H129" s="10">
        <v>45245.0</v>
      </c>
      <c r="I129" s="12"/>
      <c r="J129" s="10"/>
      <c r="K129" s="9" t="s">
        <v>49</v>
      </c>
      <c r="L129" s="9">
        <v>93.0</v>
      </c>
      <c r="M129" s="9">
        <v>23.0</v>
      </c>
      <c r="N129" s="13" t="str">
        <f t="shared" si="34"/>
        <v>000014</v>
      </c>
      <c r="O129" s="13"/>
      <c r="P129" s="9">
        <f t="shared" si="5"/>
        <v>0</v>
      </c>
      <c r="Q129" s="20">
        <f t="shared" si="48"/>
        <v>46012</v>
      </c>
      <c r="R129" s="9" t="str">
        <f t="shared" si="54"/>
        <v>X</v>
      </c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</row>
    <row r="130">
      <c r="A130" s="9">
        <v>129.0</v>
      </c>
      <c r="B130" s="9">
        <v>1166.0</v>
      </c>
      <c r="C130" s="13"/>
      <c r="D130" s="13"/>
      <c r="E130" s="13"/>
      <c r="F130" s="18"/>
      <c r="G130" s="12"/>
      <c r="H130" s="10">
        <v>45245.0</v>
      </c>
      <c r="I130" s="12"/>
      <c r="J130" s="10"/>
      <c r="K130" s="9" t="s">
        <v>49</v>
      </c>
      <c r="L130" s="9">
        <v>93.0</v>
      </c>
      <c r="M130" s="9">
        <v>28.0</v>
      </c>
      <c r="N130" s="13">
        <f t="shared" si="34"/>
        <v>32</v>
      </c>
      <c r="O130" s="13"/>
      <c r="P130" s="9">
        <f t="shared" si="5"/>
        <v>0</v>
      </c>
      <c r="Q130" s="20">
        <f t="shared" si="48"/>
        <v>46012</v>
      </c>
      <c r="R130" s="9" t="str">
        <f t="shared" si="54"/>
        <v>X</v>
      </c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</row>
    <row r="131">
      <c r="A131" s="9">
        <v>130.0</v>
      </c>
      <c r="B131" s="9">
        <v>1167.0</v>
      </c>
      <c r="C131" s="13"/>
      <c r="D131" s="13"/>
      <c r="E131" s="13"/>
      <c r="F131" s="18"/>
      <c r="G131" s="12"/>
      <c r="H131" s="10">
        <v>45245.0</v>
      </c>
      <c r="I131" s="12"/>
      <c r="J131" s="10"/>
      <c r="K131" s="9" t="s">
        <v>31</v>
      </c>
      <c r="L131" s="9">
        <v>93.0</v>
      </c>
      <c r="M131" s="9">
        <v>28.0</v>
      </c>
      <c r="N131" s="13">
        <f t="shared" si="34"/>
        <v>32</v>
      </c>
      <c r="O131" s="13"/>
      <c r="P131" s="9">
        <f t="shared" si="5"/>
        <v>0</v>
      </c>
      <c r="Q131" s="20">
        <f t="shared" si="48"/>
        <v>46012</v>
      </c>
      <c r="R131" s="9" t="str">
        <f t="shared" si="54"/>
        <v>#REF!</v>
      </c>
      <c r="S131" s="9" t="s">
        <v>146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>
      <c r="A132" s="9">
        <v>131.0</v>
      </c>
      <c r="B132" s="9">
        <v>1176.0</v>
      </c>
      <c r="C132" s="13"/>
      <c r="D132" s="13"/>
      <c r="E132" s="13"/>
      <c r="F132" s="18"/>
      <c r="G132" s="12"/>
      <c r="H132" s="10">
        <v>45826.0</v>
      </c>
      <c r="I132" s="12"/>
      <c r="J132" s="18"/>
      <c r="K132" s="9" t="s">
        <v>31</v>
      </c>
      <c r="L132" s="13"/>
      <c r="M132" s="13"/>
      <c r="N132" s="13" t="str">
        <f t="shared" si="34"/>
        <v>#N/A</v>
      </c>
      <c r="O132" s="9">
        <f t="shared" ref="O132:O135" si="55">countif(M:M,A132)</f>
        <v>4</v>
      </c>
      <c r="P132" s="9">
        <f t="shared" si="5"/>
        <v>3</v>
      </c>
      <c r="Q132" s="9">
        <f t="shared" si="48"/>
        <v>318</v>
      </c>
      <c r="R132" s="9" t="str">
        <f t="shared" ref="R132:R136" si="56">if(if("m"=K132,true,countif(Cull!A:A,B:B)&gt;0),"X","")</f>
        <v>#REF!</v>
      </c>
      <c r="S132" s="19" t="s">
        <v>147</v>
      </c>
      <c r="T132" s="9"/>
      <c r="U132" s="9"/>
      <c r="V132" s="9"/>
      <c r="W132" s="9" t="s">
        <v>43</v>
      </c>
      <c r="X132" s="9"/>
      <c r="Y132" s="9"/>
      <c r="Z132" s="9" t="s">
        <v>43</v>
      </c>
      <c r="AA132" s="9" t="s">
        <v>39</v>
      </c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</row>
    <row r="133">
      <c r="A133" s="9">
        <v>132.0</v>
      </c>
      <c r="B133" s="9">
        <v>1177.0</v>
      </c>
      <c r="C133" s="13"/>
      <c r="F133" s="18"/>
      <c r="G133" s="12"/>
      <c r="H133" s="18"/>
      <c r="I133" s="12"/>
      <c r="J133" s="18"/>
      <c r="K133" s="9" t="s">
        <v>31</v>
      </c>
      <c r="N133" s="13" t="str">
        <f t="shared" si="34"/>
        <v>#N/A</v>
      </c>
      <c r="O133" s="9">
        <f t="shared" si="55"/>
        <v>4</v>
      </c>
      <c r="P133" s="9">
        <f t="shared" si="5"/>
        <v>2</v>
      </c>
      <c r="Q133" s="9">
        <f t="shared" si="48"/>
        <v>324</v>
      </c>
      <c r="R133" s="9" t="str">
        <f t="shared" si="56"/>
        <v>#REF!</v>
      </c>
      <c r="S133" s="19" t="s">
        <v>148</v>
      </c>
      <c r="T133" s="9" t="s">
        <v>43</v>
      </c>
      <c r="U133" s="9"/>
      <c r="V133" s="9"/>
      <c r="W133" s="9" t="s">
        <v>43</v>
      </c>
      <c r="X133" s="9"/>
      <c r="Y133" s="9"/>
      <c r="Z133" s="9" t="s">
        <v>43</v>
      </c>
      <c r="AA133" s="9" t="s">
        <v>39</v>
      </c>
      <c r="AF133" s="13"/>
      <c r="AG133" s="13"/>
      <c r="AH133" s="13"/>
    </row>
    <row r="134">
      <c r="A134" s="9">
        <v>133.0</v>
      </c>
      <c r="B134" s="9">
        <v>1178.0</v>
      </c>
      <c r="C134" s="13"/>
      <c r="F134" s="18"/>
      <c r="G134" s="12"/>
      <c r="H134" s="18"/>
      <c r="I134" s="12"/>
      <c r="J134" s="18"/>
      <c r="K134" s="9" t="s">
        <v>31</v>
      </c>
      <c r="N134" s="13" t="str">
        <f t="shared" si="34"/>
        <v>#N/A</v>
      </c>
      <c r="O134" s="9">
        <f t="shared" si="55"/>
        <v>3</v>
      </c>
      <c r="P134" s="9">
        <f t="shared" si="5"/>
        <v>2</v>
      </c>
      <c r="Q134" s="9">
        <f t="shared" si="48"/>
        <v>321</v>
      </c>
      <c r="R134" s="9" t="str">
        <f t="shared" si="56"/>
        <v>#REF!</v>
      </c>
      <c r="S134" s="19" t="s">
        <v>147</v>
      </c>
      <c r="T134" s="9" t="s">
        <v>43</v>
      </c>
      <c r="U134" s="9"/>
      <c r="V134" s="9"/>
      <c r="W134" s="9" t="s">
        <v>43</v>
      </c>
      <c r="X134" s="9"/>
      <c r="Y134" s="9"/>
      <c r="Z134" s="9" t="s">
        <v>43</v>
      </c>
      <c r="AA134" s="9" t="s">
        <v>39</v>
      </c>
      <c r="AF134" s="13"/>
      <c r="AG134" s="13"/>
      <c r="AH134" s="13"/>
    </row>
    <row r="135">
      <c r="A135" s="9">
        <v>134.0</v>
      </c>
      <c r="B135" s="9">
        <v>1179.0</v>
      </c>
      <c r="C135" s="13"/>
      <c r="D135" s="13"/>
      <c r="E135" s="13"/>
      <c r="F135" s="18"/>
      <c r="G135" s="12"/>
      <c r="H135" s="10">
        <v>45801.0</v>
      </c>
      <c r="I135" s="12"/>
      <c r="J135" s="18"/>
      <c r="K135" s="9" t="s">
        <v>31</v>
      </c>
      <c r="L135" s="13"/>
      <c r="M135" s="13"/>
      <c r="N135" s="13" t="str">
        <f t="shared" si="34"/>
        <v>#N/A</v>
      </c>
      <c r="O135" s="9">
        <f t="shared" si="55"/>
        <v>3</v>
      </c>
      <c r="P135" s="9">
        <f t="shared" si="5"/>
        <v>1</v>
      </c>
      <c r="Q135" s="9">
        <f t="shared" si="48"/>
        <v>331</v>
      </c>
      <c r="R135" s="9" t="str">
        <f t="shared" si="56"/>
        <v>#REF!</v>
      </c>
      <c r="S135" s="19" t="s">
        <v>147</v>
      </c>
      <c r="T135" s="9"/>
      <c r="U135" s="9"/>
      <c r="V135" s="9"/>
      <c r="W135" s="9" t="s">
        <v>43</v>
      </c>
      <c r="X135" s="9"/>
      <c r="Y135" s="9"/>
      <c r="Z135" s="9" t="s">
        <v>43</v>
      </c>
      <c r="AA135" s="9" t="s">
        <v>39</v>
      </c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</row>
    <row r="136">
      <c r="A136" s="9">
        <v>135.0</v>
      </c>
      <c r="B136" s="9">
        <v>1152.0</v>
      </c>
      <c r="C136" s="13"/>
      <c r="D136" s="13"/>
      <c r="E136" s="13"/>
      <c r="F136" s="18"/>
      <c r="G136" s="12"/>
      <c r="H136" s="10">
        <v>45105.0</v>
      </c>
      <c r="I136" s="12"/>
      <c r="J136" s="10">
        <v>44927.0</v>
      </c>
      <c r="K136" s="9" t="s">
        <v>49</v>
      </c>
      <c r="L136" s="9">
        <v>93.0</v>
      </c>
      <c r="M136" s="13"/>
      <c r="N136" s="13" t="str">
        <f t="shared" si="34"/>
        <v>#N/A</v>
      </c>
      <c r="O136" s="13"/>
      <c r="P136" s="9">
        <f t="shared" si="5"/>
        <v>0</v>
      </c>
      <c r="Q136" s="20">
        <f t="shared" si="48"/>
        <v>46012</v>
      </c>
      <c r="R136" s="9" t="str">
        <f t="shared" si="56"/>
        <v>X</v>
      </c>
      <c r="S136" s="9" t="s">
        <v>149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</row>
    <row r="137">
      <c r="A137" s="9">
        <v>136.0</v>
      </c>
      <c r="B137" s="9">
        <v>1153.0</v>
      </c>
      <c r="C137" s="13"/>
      <c r="D137" s="13"/>
      <c r="E137" s="13"/>
      <c r="F137" s="18"/>
      <c r="G137" s="12"/>
      <c r="H137" s="9" t="s">
        <v>103</v>
      </c>
      <c r="I137" s="12"/>
      <c r="J137" s="10">
        <v>44927.0</v>
      </c>
      <c r="K137" s="9" t="s">
        <v>49</v>
      </c>
      <c r="L137" s="9">
        <v>93.0</v>
      </c>
      <c r="M137" s="13"/>
      <c r="N137" s="13" t="str">
        <f t="shared" si="34"/>
        <v>#N/A</v>
      </c>
      <c r="O137" s="9">
        <f t="shared" ref="O137:O165" si="57">countif(M:M,A137)</f>
        <v>0</v>
      </c>
      <c r="P137" s="9">
        <f t="shared" si="5"/>
        <v>0</v>
      </c>
      <c r="Q137" s="20">
        <f t="shared" si="48"/>
        <v>46012</v>
      </c>
      <c r="R137" s="9" t="str">
        <f t="shared" ref="R137:R138" si="58">if("m"=K137,"X",if(or(countif(Cull!A:A,B:B)&gt;0,"X"= XLOOKUP(M:M,A:A,R:R)),"X",""))</f>
        <v>X</v>
      </c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</row>
    <row r="138">
      <c r="A138" s="9">
        <v>137.0</v>
      </c>
      <c r="B138" s="9">
        <v>1154.0</v>
      </c>
      <c r="C138" s="13"/>
      <c r="D138" s="13"/>
      <c r="E138" s="13"/>
      <c r="F138" s="18"/>
      <c r="G138" s="12"/>
      <c r="H138" s="10">
        <v>45450.0</v>
      </c>
      <c r="I138" s="12"/>
      <c r="J138" s="10">
        <v>44927.0</v>
      </c>
      <c r="K138" s="9" t="s">
        <v>31</v>
      </c>
      <c r="L138" s="9">
        <v>93.0</v>
      </c>
      <c r="M138" s="13"/>
      <c r="N138" s="13" t="str">
        <f t="shared" si="34"/>
        <v>#N/A</v>
      </c>
      <c r="O138" s="9">
        <f t="shared" si="57"/>
        <v>2</v>
      </c>
      <c r="P138" s="9">
        <f t="shared" si="5"/>
        <v>0</v>
      </c>
      <c r="Q138" s="9">
        <f t="shared" si="48"/>
        <v>672</v>
      </c>
      <c r="R138" s="9" t="str">
        <f t="shared" si="58"/>
        <v>#REF!</v>
      </c>
      <c r="S138" s="13"/>
      <c r="T138" s="9"/>
      <c r="U138" s="9"/>
      <c r="V138" s="9"/>
      <c r="W138" s="9"/>
      <c r="X138" s="9"/>
      <c r="Y138" s="9"/>
      <c r="Z138" s="9"/>
      <c r="AA138" s="9" t="s">
        <v>46</v>
      </c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</row>
    <row r="139">
      <c r="A139" s="9">
        <v>138.0</v>
      </c>
      <c r="B139" s="9">
        <v>1155.0</v>
      </c>
      <c r="C139" s="13"/>
      <c r="F139" s="18"/>
      <c r="G139" s="12"/>
      <c r="I139" s="12"/>
      <c r="J139" s="10">
        <v>44927.0</v>
      </c>
      <c r="K139" s="9" t="s">
        <v>31</v>
      </c>
      <c r="L139" s="9">
        <v>93.0</v>
      </c>
      <c r="N139" s="13" t="str">
        <f t="shared" si="34"/>
        <v>#N/A</v>
      </c>
      <c r="O139" s="9">
        <f t="shared" si="57"/>
        <v>3</v>
      </c>
      <c r="P139" s="9">
        <f t="shared" si="5"/>
        <v>1</v>
      </c>
      <c r="Q139" s="9">
        <f t="shared" si="48"/>
        <v>316</v>
      </c>
      <c r="R139" s="9" t="str">
        <f t="shared" ref="R139:R141" si="59">if(if("m"=K139,true,countif(Cull!A:A,B:B)&gt;0),"X","")</f>
        <v>#REF!</v>
      </c>
      <c r="S139" s="19" t="s">
        <v>150</v>
      </c>
      <c r="T139" s="9" t="s">
        <v>43</v>
      </c>
      <c r="U139" s="9"/>
      <c r="V139" s="9"/>
      <c r="W139" s="9" t="s">
        <v>43</v>
      </c>
      <c r="X139" s="9"/>
      <c r="Y139" s="9"/>
      <c r="Z139" s="9" t="s">
        <v>43</v>
      </c>
      <c r="AA139" s="9" t="s">
        <v>46</v>
      </c>
      <c r="AF139" s="13"/>
      <c r="AG139" s="13"/>
      <c r="AH139" s="13"/>
    </row>
    <row r="140">
      <c r="A140" s="9">
        <v>139.0</v>
      </c>
      <c r="B140" s="9">
        <v>1151.0</v>
      </c>
      <c r="C140" s="13"/>
      <c r="F140" s="18"/>
      <c r="G140" s="12"/>
      <c r="H140" s="18"/>
      <c r="I140" s="12"/>
      <c r="J140" s="10">
        <v>44927.0</v>
      </c>
      <c r="K140" s="9" t="s">
        <v>31</v>
      </c>
      <c r="L140" s="9">
        <v>93.0</v>
      </c>
      <c r="N140" s="13" t="str">
        <f t="shared" si="34"/>
        <v>#N/A</v>
      </c>
      <c r="O140" s="9">
        <f t="shared" si="57"/>
        <v>2</v>
      </c>
      <c r="P140" s="9">
        <f t="shared" si="5"/>
        <v>1</v>
      </c>
      <c r="Q140" s="9">
        <f t="shared" si="48"/>
        <v>317</v>
      </c>
      <c r="R140" s="9" t="str">
        <f t="shared" si="59"/>
        <v>#REF!</v>
      </c>
      <c r="S140" s="28"/>
      <c r="T140" s="9" t="s">
        <v>43</v>
      </c>
      <c r="U140" s="9"/>
      <c r="V140" s="9"/>
      <c r="W140" s="9" t="s">
        <v>43</v>
      </c>
      <c r="X140" s="9"/>
      <c r="Y140" s="9"/>
      <c r="Z140" s="9" t="s">
        <v>43</v>
      </c>
      <c r="AA140" s="9" t="s">
        <v>39</v>
      </c>
      <c r="AF140" s="13"/>
      <c r="AG140" s="13"/>
      <c r="AH140" s="13"/>
    </row>
    <row r="141">
      <c r="A141" s="9">
        <v>140.0</v>
      </c>
      <c r="B141" s="9">
        <v>1150.0</v>
      </c>
      <c r="C141" s="13"/>
      <c r="F141" s="18"/>
      <c r="G141" s="12"/>
      <c r="H141" s="18"/>
      <c r="I141" s="12"/>
      <c r="J141" s="10">
        <v>44927.0</v>
      </c>
      <c r="K141" s="9" t="s">
        <v>31</v>
      </c>
      <c r="L141" s="9">
        <v>93.0</v>
      </c>
      <c r="N141" s="13" t="str">
        <f t="shared" si="34"/>
        <v>#N/A</v>
      </c>
      <c r="O141" s="9">
        <f t="shared" si="57"/>
        <v>2</v>
      </c>
      <c r="P141" s="9">
        <f t="shared" si="5"/>
        <v>1</v>
      </c>
      <c r="Q141" s="9">
        <f t="shared" si="48"/>
        <v>318</v>
      </c>
      <c r="R141" s="9" t="str">
        <f t="shared" si="59"/>
        <v>#REF!</v>
      </c>
      <c r="S141" s="28"/>
      <c r="T141" s="9" t="s">
        <v>43</v>
      </c>
      <c r="U141" s="9"/>
      <c r="V141" s="9"/>
      <c r="W141" s="9" t="s">
        <v>43</v>
      </c>
      <c r="X141" s="9"/>
      <c r="Y141" s="9"/>
      <c r="Z141" s="9" t="s">
        <v>43</v>
      </c>
      <c r="AA141" s="13"/>
      <c r="AF141" s="13"/>
      <c r="AG141" s="13"/>
      <c r="AH141" s="13"/>
    </row>
    <row r="142">
      <c r="A142" s="9">
        <v>141.0</v>
      </c>
      <c r="B142" s="9">
        <v>1149.0</v>
      </c>
      <c r="C142" s="13"/>
      <c r="D142" s="13"/>
      <c r="E142" s="13"/>
      <c r="F142" s="18"/>
      <c r="G142" s="12"/>
      <c r="H142" s="9" t="s">
        <v>103</v>
      </c>
      <c r="I142" s="12"/>
      <c r="J142" s="10">
        <v>44927.0</v>
      </c>
      <c r="K142" s="9" t="s">
        <v>49</v>
      </c>
      <c r="L142" s="9">
        <v>93.0</v>
      </c>
      <c r="M142" s="13"/>
      <c r="N142" s="13" t="str">
        <f t="shared" si="34"/>
        <v>#N/A</v>
      </c>
      <c r="O142" s="9">
        <f t="shared" si="57"/>
        <v>0</v>
      </c>
      <c r="P142" s="9">
        <f t="shared" si="5"/>
        <v>0</v>
      </c>
      <c r="Q142" s="20">
        <f t="shared" si="48"/>
        <v>46012</v>
      </c>
      <c r="R142" s="9" t="str">
        <f t="array" ref="R142">if("m"=K142,"X",if(or(countif(Cull!A:A,B:B)&gt;0,"X"= XLOOKUP(M:M,A:A,R:R)),"X",""))</f>
        <v>X</v>
      </c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</row>
    <row r="143">
      <c r="A143" s="9">
        <v>142.0</v>
      </c>
      <c r="B143" s="9">
        <v>1148.0</v>
      </c>
      <c r="C143" s="13"/>
      <c r="F143" s="18"/>
      <c r="G143" s="12"/>
      <c r="H143" s="18"/>
      <c r="I143" s="12"/>
      <c r="J143" s="10">
        <v>44927.0</v>
      </c>
      <c r="K143" s="9" t="s">
        <v>31</v>
      </c>
      <c r="L143" s="9">
        <v>93.0</v>
      </c>
      <c r="N143" s="13" t="str">
        <f t="shared" si="34"/>
        <v>#N/A</v>
      </c>
      <c r="O143" s="9">
        <f t="shared" si="57"/>
        <v>2</v>
      </c>
      <c r="P143" s="9">
        <f t="shared" si="5"/>
        <v>1</v>
      </c>
      <c r="Q143" s="9">
        <f t="shared" si="48"/>
        <v>321</v>
      </c>
      <c r="R143" s="9" t="str">
        <f>if(if("m"=K143,true,countif(Cull!A:A,B:B)&gt;0),"X","")</f>
        <v>#REF!</v>
      </c>
      <c r="S143" s="28"/>
      <c r="T143" s="9" t="s">
        <v>43</v>
      </c>
      <c r="U143" s="9"/>
      <c r="V143" s="9"/>
      <c r="W143" s="9" t="s">
        <v>43</v>
      </c>
      <c r="X143" s="9"/>
      <c r="Y143" s="9"/>
      <c r="Z143" s="9" t="s">
        <v>43</v>
      </c>
      <c r="AA143" s="9" t="s">
        <v>39</v>
      </c>
      <c r="AF143" s="13"/>
      <c r="AG143" s="13"/>
      <c r="AH143" s="13"/>
    </row>
    <row r="144">
      <c r="A144" s="9">
        <v>143.0</v>
      </c>
      <c r="B144" s="9">
        <v>1160.0</v>
      </c>
      <c r="C144" s="13"/>
      <c r="D144" s="13"/>
      <c r="E144" s="13"/>
      <c r="F144" s="18"/>
      <c r="G144" s="12"/>
      <c r="H144" s="9" t="s">
        <v>103</v>
      </c>
      <c r="I144" s="12"/>
      <c r="J144" s="10">
        <v>44927.0</v>
      </c>
      <c r="K144" s="9" t="s">
        <v>49</v>
      </c>
      <c r="L144" s="9">
        <v>93.0</v>
      </c>
      <c r="M144" s="13"/>
      <c r="N144" s="13" t="str">
        <f t="shared" si="34"/>
        <v>#N/A</v>
      </c>
      <c r="O144" s="9">
        <f t="shared" si="57"/>
        <v>0</v>
      </c>
      <c r="P144" s="9">
        <f t="shared" si="5"/>
        <v>0</v>
      </c>
      <c r="Q144" s="20">
        <f t="shared" si="48"/>
        <v>46012</v>
      </c>
      <c r="R144" s="9" t="str">
        <f t="shared" ref="R144:R145" si="60">if("m"=K144,"X",if(or(countif(Cull!A:A,B:B)&gt;0,"X"= XLOOKUP(M:M,A:A,R:R)),"X",""))</f>
        <v>X</v>
      </c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</row>
    <row r="145">
      <c r="A145" s="9">
        <v>144.0</v>
      </c>
      <c r="B145" s="9">
        <v>1171.0</v>
      </c>
      <c r="C145" s="13"/>
      <c r="D145" s="13"/>
      <c r="E145" s="13"/>
      <c r="F145" s="18"/>
      <c r="G145" s="12"/>
      <c r="H145" s="9" t="s">
        <v>103</v>
      </c>
      <c r="I145" s="12"/>
      <c r="J145" s="10">
        <v>44927.0</v>
      </c>
      <c r="K145" s="9" t="s">
        <v>49</v>
      </c>
      <c r="L145" s="9">
        <v>93.0</v>
      </c>
      <c r="M145" s="13"/>
      <c r="N145" s="13" t="str">
        <f t="shared" si="34"/>
        <v>#N/A</v>
      </c>
      <c r="O145" s="9">
        <f t="shared" si="57"/>
        <v>0</v>
      </c>
      <c r="P145" s="9">
        <f t="shared" si="5"/>
        <v>0</v>
      </c>
      <c r="Q145" s="20">
        <f t="shared" si="48"/>
        <v>46012</v>
      </c>
      <c r="R145" s="9" t="str">
        <f t="shared" si="60"/>
        <v>X</v>
      </c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</row>
    <row r="146">
      <c r="A146" s="9">
        <v>145.0</v>
      </c>
      <c r="B146" s="9">
        <v>1161.0</v>
      </c>
      <c r="C146" s="13"/>
      <c r="F146" s="18"/>
      <c r="G146" s="12"/>
      <c r="H146" s="18"/>
      <c r="I146" s="12"/>
      <c r="J146" s="10">
        <v>44927.0</v>
      </c>
      <c r="K146" s="9" t="s">
        <v>31</v>
      </c>
      <c r="L146" s="9">
        <v>93.0</v>
      </c>
      <c r="N146" s="13" t="str">
        <f t="shared" si="34"/>
        <v>#N/A</v>
      </c>
      <c r="O146" s="9">
        <f t="shared" si="57"/>
        <v>2</v>
      </c>
      <c r="P146" s="9">
        <f t="shared" si="5"/>
        <v>1</v>
      </c>
      <c r="Q146" s="9">
        <f t="shared" si="48"/>
        <v>321</v>
      </c>
      <c r="R146" s="9" t="str">
        <f>if(if("m"=K146,true,countif(Cull!A:A,B:B)&gt;0),"X","")</f>
        <v>#REF!</v>
      </c>
      <c r="S146" s="19" t="s">
        <v>151</v>
      </c>
      <c r="T146" s="9" t="s">
        <v>43</v>
      </c>
      <c r="U146" s="9"/>
      <c r="V146" s="9"/>
      <c r="W146" s="9" t="s">
        <v>43</v>
      </c>
      <c r="X146" s="9"/>
      <c r="Y146" s="9"/>
      <c r="Z146" s="9" t="s">
        <v>43</v>
      </c>
      <c r="AA146" s="9" t="s">
        <v>39</v>
      </c>
      <c r="AF146" s="13"/>
      <c r="AG146" s="13"/>
      <c r="AH146" s="13"/>
    </row>
    <row r="147">
      <c r="A147" s="9">
        <v>146.0</v>
      </c>
      <c r="B147" s="9">
        <v>1142.0</v>
      </c>
      <c r="C147" s="13"/>
      <c r="D147" s="13"/>
      <c r="E147" s="13"/>
      <c r="F147" s="18"/>
      <c r="G147" s="12"/>
      <c r="H147" s="9" t="s">
        <v>103</v>
      </c>
      <c r="I147" s="12"/>
      <c r="J147" s="10">
        <v>44927.0</v>
      </c>
      <c r="K147" s="9" t="s">
        <v>49</v>
      </c>
      <c r="L147" s="9">
        <v>93.0</v>
      </c>
      <c r="M147" s="13"/>
      <c r="N147" s="13" t="str">
        <f t="shared" si="34"/>
        <v>#N/A</v>
      </c>
      <c r="O147" s="9">
        <f t="shared" si="57"/>
        <v>0</v>
      </c>
      <c r="P147" s="9">
        <f t="shared" si="5"/>
        <v>0</v>
      </c>
      <c r="Q147" s="20">
        <f t="shared" si="48"/>
        <v>46012</v>
      </c>
      <c r="R147" s="9" t="str">
        <f t="shared" ref="R147:R149" si="61">if("m"=K147,"X",if(or(countif(Cull!A:A,B:B)&gt;0,"X"= XLOOKUP(M:M,A:A,R:R)),"X",""))</f>
        <v>X</v>
      </c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</row>
    <row r="148">
      <c r="A148" s="9">
        <v>147.0</v>
      </c>
      <c r="B148" s="9">
        <v>1168.0</v>
      </c>
      <c r="C148" s="13"/>
      <c r="D148" s="13"/>
      <c r="E148" s="13"/>
      <c r="F148" s="18"/>
      <c r="G148" s="12"/>
      <c r="H148" s="9" t="s">
        <v>103</v>
      </c>
      <c r="I148" s="12"/>
      <c r="J148" s="10">
        <v>44927.0</v>
      </c>
      <c r="K148" s="9" t="s">
        <v>49</v>
      </c>
      <c r="L148" s="9">
        <v>93.0</v>
      </c>
      <c r="M148" s="13"/>
      <c r="N148" s="13" t="str">
        <f t="shared" si="34"/>
        <v>#N/A</v>
      </c>
      <c r="O148" s="9">
        <f t="shared" si="57"/>
        <v>0</v>
      </c>
      <c r="P148" s="9">
        <f t="shared" si="5"/>
        <v>0</v>
      </c>
      <c r="Q148" s="20">
        <f t="shared" si="48"/>
        <v>46012</v>
      </c>
      <c r="R148" s="9" t="str">
        <f t="shared" si="61"/>
        <v>X</v>
      </c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>
      <c r="A149" s="9">
        <v>148.0</v>
      </c>
      <c r="B149" s="9">
        <v>1162.0</v>
      </c>
      <c r="C149" s="13"/>
      <c r="D149" s="13"/>
      <c r="E149" s="13"/>
      <c r="F149" s="18"/>
      <c r="G149" s="12"/>
      <c r="H149" s="9" t="s">
        <v>103</v>
      </c>
      <c r="I149" s="12"/>
      <c r="J149" s="10">
        <v>44927.0</v>
      </c>
      <c r="K149" s="9" t="s">
        <v>49</v>
      </c>
      <c r="L149" s="9">
        <v>93.0</v>
      </c>
      <c r="M149" s="13"/>
      <c r="N149" s="13" t="str">
        <f t="shared" si="34"/>
        <v>#N/A</v>
      </c>
      <c r="O149" s="9">
        <f t="shared" si="57"/>
        <v>0</v>
      </c>
      <c r="P149" s="9">
        <f t="shared" si="5"/>
        <v>0</v>
      </c>
      <c r="Q149" s="20">
        <f t="shared" si="48"/>
        <v>46012</v>
      </c>
      <c r="R149" s="9" t="str">
        <f t="shared" si="61"/>
        <v>X</v>
      </c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</row>
    <row r="150">
      <c r="A150" s="9">
        <v>149.0</v>
      </c>
      <c r="B150" s="9">
        <v>1163.0</v>
      </c>
      <c r="C150" s="13"/>
      <c r="F150" s="18"/>
      <c r="G150" s="12"/>
      <c r="H150" s="18"/>
      <c r="I150" s="12"/>
      <c r="J150" s="10">
        <v>44927.0</v>
      </c>
      <c r="K150" s="9" t="s">
        <v>31</v>
      </c>
      <c r="L150" s="9">
        <v>93.0</v>
      </c>
      <c r="N150" s="13" t="str">
        <f t="shared" si="34"/>
        <v>#N/A</v>
      </c>
      <c r="O150" s="9">
        <f t="shared" si="57"/>
        <v>2</v>
      </c>
      <c r="P150" s="9">
        <f t="shared" si="5"/>
        <v>1</v>
      </c>
      <c r="Q150" s="9">
        <f t="shared" si="48"/>
        <v>321</v>
      </c>
      <c r="R150" s="9" t="str">
        <f t="shared" ref="R150:R152" si="62">if(if("m"=K150,true,countif(Cull!A:A,B:B)&gt;0),"X","")</f>
        <v>#REF!</v>
      </c>
      <c r="S150" s="28"/>
      <c r="T150" s="9" t="s">
        <v>43</v>
      </c>
      <c r="U150" s="9"/>
      <c r="V150" s="9"/>
      <c r="W150" s="9" t="s">
        <v>43</v>
      </c>
      <c r="X150" s="9"/>
      <c r="Y150" s="9"/>
      <c r="Z150" s="9" t="s">
        <v>43</v>
      </c>
      <c r="AA150" s="9" t="s">
        <v>39</v>
      </c>
      <c r="AF150" s="13"/>
      <c r="AG150" s="13"/>
      <c r="AH150" s="13"/>
    </row>
    <row r="151">
      <c r="A151" s="9">
        <v>150.0</v>
      </c>
      <c r="B151" s="9">
        <v>1188.0</v>
      </c>
      <c r="C151" s="13"/>
      <c r="D151" s="13"/>
      <c r="E151" s="13"/>
      <c r="F151" s="18"/>
      <c r="G151" s="12"/>
      <c r="H151" s="10">
        <v>45801.0</v>
      </c>
      <c r="I151" s="12"/>
      <c r="J151" s="10"/>
      <c r="K151" s="9" t="s">
        <v>31</v>
      </c>
      <c r="L151" s="13"/>
      <c r="M151" s="13"/>
      <c r="N151" s="13" t="str">
        <f t="shared" si="34"/>
        <v>#N/A</v>
      </c>
      <c r="O151" s="9">
        <f t="shared" si="57"/>
        <v>4</v>
      </c>
      <c r="P151" s="9">
        <f t="shared" si="5"/>
        <v>2</v>
      </c>
      <c r="Q151" s="9">
        <f t="shared" si="48"/>
        <v>324</v>
      </c>
      <c r="R151" s="9" t="str">
        <f t="shared" si="62"/>
        <v>#REF!</v>
      </c>
      <c r="S151" s="19" t="s">
        <v>152</v>
      </c>
      <c r="T151" s="9"/>
      <c r="U151" s="9"/>
      <c r="V151" s="9"/>
      <c r="W151" s="9" t="s">
        <v>43</v>
      </c>
      <c r="X151" s="9"/>
      <c r="Y151" s="9"/>
      <c r="Z151" s="9" t="s">
        <v>43</v>
      </c>
      <c r="AA151" s="9" t="s">
        <v>39</v>
      </c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</row>
    <row r="152">
      <c r="A152" s="9">
        <v>151.0</v>
      </c>
      <c r="B152" s="9">
        <v>1189.0</v>
      </c>
      <c r="C152" s="13"/>
      <c r="F152" s="18"/>
      <c r="G152" s="12"/>
      <c r="H152" s="18"/>
      <c r="I152" s="12"/>
      <c r="J152" s="10">
        <v>44927.0</v>
      </c>
      <c r="K152" s="9" t="s">
        <v>31</v>
      </c>
      <c r="L152" s="9">
        <v>93.0</v>
      </c>
      <c r="N152" s="13" t="str">
        <f t="shared" si="34"/>
        <v>#N/A</v>
      </c>
      <c r="O152" s="9">
        <f t="shared" si="57"/>
        <v>1</v>
      </c>
      <c r="P152" s="9">
        <f t="shared" si="5"/>
        <v>1</v>
      </c>
      <c r="Q152" s="9">
        <f t="shared" si="48"/>
        <v>319</v>
      </c>
      <c r="R152" s="9" t="str">
        <f t="shared" si="62"/>
        <v>#REF!</v>
      </c>
      <c r="S152" s="28"/>
      <c r="T152" s="9" t="s">
        <v>43</v>
      </c>
      <c r="U152" s="9"/>
      <c r="V152" s="9"/>
      <c r="W152" s="9" t="s">
        <v>43</v>
      </c>
      <c r="X152" s="9"/>
      <c r="Y152" s="9"/>
      <c r="Z152" s="9" t="s">
        <v>43</v>
      </c>
      <c r="AA152" s="9" t="s">
        <v>46</v>
      </c>
      <c r="AF152" s="13"/>
      <c r="AG152" s="13"/>
      <c r="AH152" s="13"/>
    </row>
    <row r="153">
      <c r="A153" s="9">
        <v>152.0</v>
      </c>
      <c r="B153" s="9">
        <v>1170.0</v>
      </c>
      <c r="C153" s="13"/>
      <c r="D153" s="13"/>
      <c r="E153" s="13"/>
      <c r="F153" s="18"/>
      <c r="G153" s="12"/>
      <c r="H153" s="9" t="s">
        <v>103</v>
      </c>
      <c r="I153" s="12"/>
      <c r="J153" s="10">
        <v>44927.0</v>
      </c>
      <c r="K153" s="9" t="s">
        <v>49</v>
      </c>
      <c r="L153" s="9">
        <v>93.0</v>
      </c>
      <c r="M153" s="13"/>
      <c r="N153" s="13" t="str">
        <f t="shared" si="34"/>
        <v>#N/A</v>
      </c>
      <c r="O153" s="9">
        <f t="shared" si="57"/>
        <v>0</v>
      </c>
      <c r="P153" s="9">
        <f t="shared" si="5"/>
        <v>0</v>
      </c>
      <c r="Q153" s="20">
        <f t="shared" si="48"/>
        <v>46012</v>
      </c>
      <c r="R153" s="9" t="str">
        <f t="array" ref="R153">if("m"=K153,"X",if(or(countif(Cull!A:A,B:B)&gt;0,"X"= XLOOKUP(M:M,A:A,R:R)),"X",""))</f>
        <v>X</v>
      </c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</row>
    <row r="154">
      <c r="A154" s="9">
        <v>153.0</v>
      </c>
      <c r="B154" s="9">
        <v>1167.0</v>
      </c>
      <c r="C154" s="13"/>
      <c r="D154" s="13"/>
      <c r="E154" s="13"/>
      <c r="F154" s="18"/>
      <c r="G154" s="12"/>
      <c r="H154" s="10">
        <v>45801.0</v>
      </c>
      <c r="I154" s="12"/>
      <c r="J154" s="10">
        <v>44927.0</v>
      </c>
      <c r="K154" s="9" t="s">
        <v>31</v>
      </c>
      <c r="L154" s="9">
        <v>93.0</v>
      </c>
      <c r="M154" s="9">
        <v>28.0</v>
      </c>
      <c r="N154" s="13">
        <f t="shared" si="34"/>
        <v>32</v>
      </c>
      <c r="O154" s="9">
        <f t="shared" si="57"/>
        <v>0</v>
      </c>
      <c r="P154" s="9">
        <f t="shared" si="5"/>
        <v>0</v>
      </c>
      <c r="Q154" s="20">
        <f t="shared" si="48"/>
        <v>46012</v>
      </c>
      <c r="R154" s="9" t="str">
        <f>if(if("m"=K154,true,countif(Cull!A:A,B:B)&gt;0),"X","")</f>
        <v>#REF!</v>
      </c>
      <c r="S154" s="28"/>
      <c r="T154" s="9"/>
      <c r="U154" s="9"/>
      <c r="V154" s="9"/>
      <c r="W154" s="9"/>
      <c r="X154" s="9"/>
      <c r="Y154" s="9" t="s">
        <v>43</v>
      </c>
      <c r="Z154" s="9" t="s">
        <v>43</v>
      </c>
      <c r="AA154" s="9" t="s">
        <v>46</v>
      </c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</row>
    <row r="155">
      <c r="A155" s="9">
        <v>154.0</v>
      </c>
      <c r="B155" s="9">
        <v>1190.0</v>
      </c>
      <c r="C155" s="13"/>
      <c r="D155" s="13"/>
      <c r="E155" s="13"/>
      <c r="F155" s="18"/>
      <c r="G155" s="12"/>
      <c r="H155" s="9" t="s">
        <v>103</v>
      </c>
      <c r="I155" s="12"/>
      <c r="J155" s="10">
        <v>44927.0</v>
      </c>
      <c r="K155" s="9" t="s">
        <v>49</v>
      </c>
      <c r="L155" s="9">
        <v>93.0</v>
      </c>
      <c r="M155" s="13"/>
      <c r="N155" s="13" t="str">
        <f t="shared" si="34"/>
        <v>#N/A</v>
      </c>
      <c r="O155" s="9">
        <f t="shared" si="57"/>
        <v>0</v>
      </c>
      <c r="P155" s="9">
        <f t="shared" si="5"/>
        <v>0</v>
      </c>
      <c r="Q155" s="20">
        <f t="shared" si="48"/>
        <v>46012</v>
      </c>
      <c r="R155" s="9" t="str">
        <f t="array" ref="R155">if("m"=K155,"X",if(or(countif(Cull!A:A,B:B)&gt;0,"X"= XLOOKUP(M:M,A:A,R:R)),"X",""))</f>
        <v>X</v>
      </c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</row>
    <row r="156">
      <c r="A156" s="9">
        <v>155.0</v>
      </c>
      <c r="B156" s="9">
        <v>1166.0</v>
      </c>
      <c r="C156" s="13"/>
      <c r="F156" s="18"/>
      <c r="G156" s="12"/>
      <c r="H156" s="18"/>
      <c r="I156" s="12"/>
      <c r="J156" s="10">
        <v>44927.0</v>
      </c>
      <c r="K156" s="9" t="s">
        <v>31</v>
      </c>
      <c r="L156" s="9">
        <v>93.0</v>
      </c>
      <c r="N156" s="13" t="str">
        <f t="shared" si="34"/>
        <v>#N/A</v>
      </c>
      <c r="O156" s="9">
        <f t="shared" si="57"/>
        <v>0</v>
      </c>
      <c r="P156" s="9">
        <f t="shared" si="5"/>
        <v>0</v>
      </c>
      <c r="Q156" s="20">
        <f t="shared" si="48"/>
        <v>46012</v>
      </c>
      <c r="R156" s="9" t="str">
        <f>if(if("m"=K156,true,countif(Cull!A:A,B:B)&gt;0),"X","")</f>
        <v>#REF!</v>
      </c>
      <c r="S156" s="28"/>
      <c r="Z156" s="13"/>
      <c r="AA156" s="13"/>
      <c r="AF156" s="13"/>
      <c r="AG156" s="13"/>
      <c r="AH156" s="13"/>
    </row>
    <row r="157">
      <c r="A157" s="9">
        <v>156.0</v>
      </c>
      <c r="B157" s="9">
        <v>1169.0</v>
      </c>
      <c r="C157" s="13"/>
      <c r="D157" s="13"/>
      <c r="E157" s="13"/>
      <c r="F157" s="18"/>
      <c r="G157" s="12"/>
      <c r="H157" s="9" t="s">
        <v>103</v>
      </c>
      <c r="I157" s="12"/>
      <c r="J157" s="10">
        <v>44927.0</v>
      </c>
      <c r="K157" s="9" t="s">
        <v>49</v>
      </c>
      <c r="L157" s="9">
        <v>93.0</v>
      </c>
      <c r="M157" s="13"/>
      <c r="N157" s="13" t="str">
        <f t="shared" si="34"/>
        <v>#N/A</v>
      </c>
      <c r="O157" s="9">
        <f t="shared" si="57"/>
        <v>0</v>
      </c>
      <c r="P157" s="9">
        <f t="shared" si="5"/>
        <v>0</v>
      </c>
      <c r="Q157" s="20">
        <f t="shared" si="48"/>
        <v>46012</v>
      </c>
      <c r="R157" s="9" t="str">
        <f t="shared" ref="R157:R158" si="63">if("m"=K157,"X",if(or(countif(Cull!A:A,B:B)&gt;0,"X"= XLOOKUP(M:M,A:A,R:R)),"X",""))</f>
        <v>X</v>
      </c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</row>
    <row r="158">
      <c r="A158" s="9">
        <v>157.0</v>
      </c>
      <c r="B158" s="9">
        <v>1199.0</v>
      </c>
      <c r="C158" s="13"/>
      <c r="D158" s="13"/>
      <c r="E158" s="13"/>
      <c r="F158" s="18"/>
      <c r="G158" s="12"/>
      <c r="H158" s="9" t="s">
        <v>103</v>
      </c>
      <c r="I158" s="12"/>
      <c r="J158" s="10">
        <v>44927.0</v>
      </c>
      <c r="K158" s="9" t="s">
        <v>49</v>
      </c>
      <c r="L158" s="9">
        <v>93.0</v>
      </c>
      <c r="M158" s="13"/>
      <c r="N158" s="13" t="str">
        <f t="shared" si="34"/>
        <v>#N/A</v>
      </c>
      <c r="O158" s="9">
        <f t="shared" si="57"/>
        <v>0</v>
      </c>
      <c r="P158" s="9">
        <f t="shared" si="5"/>
        <v>0</v>
      </c>
      <c r="Q158" s="20">
        <f t="shared" si="48"/>
        <v>46012</v>
      </c>
      <c r="R158" s="9" t="str">
        <f t="shared" si="63"/>
        <v>X</v>
      </c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</row>
    <row r="159">
      <c r="A159" s="9">
        <v>158.0</v>
      </c>
      <c r="B159" s="9">
        <v>1198.0</v>
      </c>
      <c r="C159" s="13"/>
      <c r="F159" s="18"/>
      <c r="G159" s="12"/>
      <c r="H159" s="18"/>
      <c r="I159" s="12"/>
      <c r="J159" s="10">
        <v>44927.0</v>
      </c>
      <c r="K159" s="9" t="s">
        <v>31</v>
      </c>
      <c r="L159" s="9">
        <v>93.0</v>
      </c>
      <c r="N159" s="13" t="str">
        <f t="shared" si="34"/>
        <v>#N/A</v>
      </c>
      <c r="O159" s="9">
        <f t="shared" si="57"/>
        <v>2</v>
      </c>
      <c r="P159" s="9">
        <f t="shared" si="5"/>
        <v>1</v>
      </c>
      <c r="Q159" s="9">
        <f t="shared" si="48"/>
        <v>319</v>
      </c>
      <c r="R159" s="9" t="str">
        <f>if(if("m"=K159,true,countif(Cull!A:A,B:B)&gt;0),"X","")</f>
        <v>#REF!</v>
      </c>
      <c r="S159" s="28"/>
      <c r="T159" s="9" t="s">
        <v>43</v>
      </c>
      <c r="U159" s="9"/>
      <c r="V159" s="9"/>
      <c r="W159" s="9"/>
      <c r="X159" s="9"/>
      <c r="Y159" s="9"/>
      <c r="Z159" s="9" t="s">
        <v>43</v>
      </c>
      <c r="AA159" s="9" t="s">
        <v>39</v>
      </c>
      <c r="AF159" s="13"/>
      <c r="AG159" s="13"/>
      <c r="AH159" s="13"/>
    </row>
    <row r="160">
      <c r="A160" s="9">
        <v>159.0</v>
      </c>
      <c r="B160" s="9">
        <v>1165.0</v>
      </c>
      <c r="C160" s="13"/>
      <c r="D160" s="13"/>
      <c r="E160" s="13"/>
      <c r="F160" s="18"/>
      <c r="G160" s="12"/>
      <c r="H160" s="9" t="s">
        <v>103</v>
      </c>
      <c r="I160" s="12"/>
      <c r="J160" s="10">
        <v>44927.0</v>
      </c>
      <c r="K160" s="9" t="s">
        <v>49</v>
      </c>
      <c r="L160" s="9">
        <v>93.0</v>
      </c>
      <c r="M160" s="13"/>
      <c r="N160" s="13" t="str">
        <f t="shared" si="34"/>
        <v>#N/A</v>
      </c>
      <c r="O160" s="9">
        <f t="shared" si="57"/>
        <v>0</v>
      </c>
      <c r="P160" s="9">
        <f t="shared" si="5"/>
        <v>0</v>
      </c>
      <c r="Q160" s="20">
        <f t="shared" si="48"/>
        <v>46012</v>
      </c>
      <c r="R160" s="9" t="str">
        <f t="shared" ref="R160:R163" si="64">if("m"=K160,"X",if(or(countif(Cull!A:A,B:B)&gt;0,"X"= XLOOKUP(M:M,A:A,R:R)),"X",""))</f>
        <v>X</v>
      </c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</row>
    <row r="161">
      <c r="A161" s="9">
        <v>160.0</v>
      </c>
      <c r="B161" s="9">
        <v>1197.0</v>
      </c>
      <c r="C161" s="13"/>
      <c r="D161" s="13"/>
      <c r="E161" s="13"/>
      <c r="F161" s="18"/>
      <c r="G161" s="12"/>
      <c r="H161" s="9" t="s">
        <v>103</v>
      </c>
      <c r="I161" s="12"/>
      <c r="J161" s="10">
        <v>44927.0</v>
      </c>
      <c r="K161" s="9" t="s">
        <v>49</v>
      </c>
      <c r="L161" s="9">
        <v>93.0</v>
      </c>
      <c r="M161" s="13"/>
      <c r="N161" s="13" t="str">
        <f t="shared" si="34"/>
        <v>#N/A</v>
      </c>
      <c r="O161" s="9">
        <f t="shared" si="57"/>
        <v>0</v>
      </c>
      <c r="P161" s="9">
        <f t="shared" si="5"/>
        <v>0</v>
      </c>
      <c r="Q161" s="20">
        <f t="shared" si="48"/>
        <v>46012</v>
      </c>
      <c r="R161" s="9" t="str">
        <f t="shared" si="64"/>
        <v>X</v>
      </c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</row>
    <row r="162">
      <c r="A162" s="9">
        <v>161.0</v>
      </c>
      <c r="B162" s="9">
        <v>1196.0</v>
      </c>
      <c r="C162" s="13"/>
      <c r="D162" s="13"/>
      <c r="E162" s="13"/>
      <c r="F162" s="18"/>
      <c r="G162" s="12"/>
      <c r="H162" s="9" t="s">
        <v>103</v>
      </c>
      <c r="I162" s="12"/>
      <c r="J162" s="10">
        <v>44927.0</v>
      </c>
      <c r="K162" s="9" t="s">
        <v>49</v>
      </c>
      <c r="L162" s="9">
        <v>93.0</v>
      </c>
      <c r="M162" s="13"/>
      <c r="N162" s="13" t="str">
        <f t="shared" si="34"/>
        <v>#N/A</v>
      </c>
      <c r="O162" s="9">
        <f t="shared" si="57"/>
        <v>0</v>
      </c>
      <c r="P162" s="9">
        <f t="shared" si="5"/>
        <v>0</v>
      </c>
      <c r="Q162" s="20">
        <f t="shared" si="48"/>
        <v>46012</v>
      </c>
      <c r="R162" s="9" t="str">
        <f t="shared" si="64"/>
        <v>X</v>
      </c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</row>
    <row r="163">
      <c r="A163" s="9">
        <v>162.0</v>
      </c>
      <c r="B163" s="9">
        <v>1164.0</v>
      </c>
      <c r="C163" s="13"/>
      <c r="D163" s="13"/>
      <c r="E163" s="13"/>
      <c r="F163" s="18"/>
      <c r="G163" s="12"/>
      <c r="H163" s="9" t="s">
        <v>103</v>
      </c>
      <c r="I163" s="12"/>
      <c r="J163" s="10">
        <v>44927.0</v>
      </c>
      <c r="K163" s="9" t="s">
        <v>49</v>
      </c>
      <c r="L163" s="9">
        <v>93.0</v>
      </c>
      <c r="M163" s="13"/>
      <c r="N163" s="13" t="str">
        <f t="shared" si="34"/>
        <v>#N/A</v>
      </c>
      <c r="O163" s="9">
        <f t="shared" si="57"/>
        <v>0</v>
      </c>
      <c r="P163" s="9">
        <f t="shared" si="5"/>
        <v>0</v>
      </c>
      <c r="Q163" s="20">
        <f t="shared" si="48"/>
        <v>46012</v>
      </c>
      <c r="R163" s="9" t="str">
        <f t="shared" si="64"/>
        <v>X</v>
      </c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</row>
    <row r="164">
      <c r="A164" s="9">
        <v>163.0</v>
      </c>
      <c r="B164" s="9">
        <v>1191.0</v>
      </c>
      <c r="C164" s="13"/>
      <c r="F164" s="18"/>
      <c r="G164" s="12"/>
      <c r="H164" s="18"/>
      <c r="I164" s="12"/>
      <c r="J164" s="18"/>
      <c r="K164" s="9" t="s">
        <v>31</v>
      </c>
      <c r="N164" s="13" t="str">
        <f t="shared" si="34"/>
        <v>#N/A</v>
      </c>
      <c r="O164" s="9">
        <f t="shared" si="57"/>
        <v>4</v>
      </c>
      <c r="P164" s="9">
        <f t="shared" si="5"/>
        <v>2</v>
      </c>
      <c r="Q164" s="9">
        <f t="shared" si="48"/>
        <v>319</v>
      </c>
      <c r="R164" s="9" t="str">
        <f>if(if("m"=K164,true,countif(Cull!A:A,B:B)&gt;0),"X","")</f>
        <v>#REF!</v>
      </c>
      <c r="S164" s="19" t="s">
        <v>153</v>
      </c>
      <c r="T164" s="9" t="s">
        <v>43</v>
      </c>
      <c r="U164" s="9"/>
      <c r="V164" s="9"/>
      <c r="W164" s="9" t="s">
        <v>43</v>
      </c>
      <c r="X164" s="9"/>
      <c r="Y164" s="9"/>
      <c r="Z164" s="9"/>
      <c r="AA164" s="9" t="s">
        <v>39</v>
      </c>
      <c r="AF164" s="13"/>
      <c r="AG164" s="13"/>
      <c r="AH164" s="13"/>
    </row>
    <row r="165">
      <c r="A165" s="9">
        <v>164.0</v>
      </c>
      <c r="C165" s="13"/>
      <c r="F165" s="18"/>
      <c r="G165" s="12"/>
      <c r="H165" s="18"/>
      <c r="I165" s="12"/>
      <c r="J165" s="18"/>
      <c r="K165" s="13"/>
      <c r="N165" s="13" t="str">
        <f t="shared" si="34"/>
        <v>#N/A</v>
      </c>
      <c r="O165" s="9">
        <f t="shared" si="57"/>
        <v>0</v>
      </c>
      <c r="P165" s="9">
        <f t="shared" si="5"/>
        <v>0</v>
      </c>
      <c r="Q165" s="9"/>
      <c r="R165" s="9" t="str">
        <f t="shared" ref="R165:R170" si="65">if("m"=K165,"X",if(or(countif(Cull!A:A,B:B)&gt;0,"X"= XLOOKUP(M:M,A:A,R:R)),"X",""))</f>
        <v>#REF!</v>
      </c>
      <c r="Z165" s="13"/>
      <c r="AA165" s="13"/>
      <c r="AF165" s="13"/>
      <c r="AG165" s="13"/>
      <c r="AH165" s="13"/>
    </row>
    <row r="166">
      <c r="A166" s="9">
        <v>165.0</v>
      </c>
      <c r="B166" s="9">
        <v>1146.0</v>
      </c>
      <c r="C166" s="13"/>
      <c r="D166" s="13"/>
      <c r="E166" s="13"/>
      <c r="F166" s="18"/>
      <c r="G166" s="12"/>
      <c r="H166" s="10">
        <v>45123.0</v>
      </c>
      <c r="I166" s="12"/>
      <c r="J166" s="18"/>
      <c r="K166" s="13"/>
      <c r="L166" s="13"/>
      <c r="M166" s="13"/>
      <c r="N166" s="13" t="str">
        <f t="shared" si="34"/>
        <v>#N/A</v>
      </c>
      <c r="O166" s="13"/>
      <c r="P166" s="9">
        <f t="shared" si="5"/>
        <v>0</v>
      </c>
      <c r="Q166" s="20">
        <f t="shared" ref="Q166:Q168" si="66">today()-xlookup(A166,M:M,J:J,"",0,-1)</f>
        <v>46012</v>
      </c>
      <c r="R166" s="9" t="str">
        <f t="shared" si="65"/>
        <v>#REF!</v>
      </c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</row>
    <row r="167">
      <c r="A167" s="9">
        <v>166.0</v>
      </c>
      <c r="B167" s="9">
        <v>68005.0</v>
      </c>
      <c r="C167" s="13"/>
      <c r="D167" s="13"/>
      <c r="E167" s="13"/>
      <c r="F167" s="18"/>
      <c r="G167" s="12"/>
      <c r="H167" s="10">
        <v>45124.0</v>
      </c>
      <c r="I167" s="12"/>
      <c r="J167" s="18"/>
      <c r="K167" s="13"/>
      <c r="L167" s="13"/>
      <c r="M167" s="13"/>
      <c r="N167" s="13" t="str">
        <f t="shared" si="34"/>
        <v>#N/A</v>
      </c>
      <c r="O167" s="13"/>
      <c r="P167" s="9">
        <f t="shared" si="5"/>
        <v>0</v>
      </c>
      <c r="Q167" s="20">
        <f t="shared" si="66"/>
        <v>46012</v>
      </c>
      <c r="R167" s="9" t="str">
        <f t="shared" si="65"/>
        <v>#REF!</v>
      </c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</row>
    <row r="168">
      <c r="A168" s="9">
        <v>167.0</v>
      </c>
      <c r="B168" s="9">
        <v>1156.0</v>
      </c>
      <c r="C168" s="13"/>
      <c r="D168" s="13"/>
      <c r="E168" s="13"/>
      <c r="F168" s="18"/>
      <c r="G168" s="12"/>
      <c r="H168" s="10">
        <v>45127.0</v>
      </c>
      <c r="I168" s="12"/>
      <c r="J168" s="18"/>
      <c r="K168" s="13"/>
      <c r="L168" s="13"/>
      <c r="M168" s="13"/>
      <c r="N168" s="13" t="str">
        <f t="shared" si="34"/>
        <v>#N/A</v>
      </c>
      <c r="O168" s="13"/>
      <c r="P168" s="9">
        <f t="shared" si="5"/>
        <v>0</v>
      </c>
      <c r="Q168" s="20">
        <f t="shared" si="66"/>
        <v>46012</v>
      </c>
      <c r="R168" s="9" t="str">
        <f t="shared" si="65"/>
        <v>#REF!</v>
      </c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</row>
    <row r="169">
      <c r="A169" s="9">
        <v>168.0</v>
      </c>
      <c r="B169" s="9" t="s">
        <v>154</v>
      </c>
      <c r="C169" s="13"/>
      <c r="F169" s="18"/>
      <c r="G169" s="12"/>
      <c r="H169" s="18"/>
      <c r="I169" s="12"/>
      <c r="J169" s="18"/>
      <c r="K169" s="13"/>
      <c r="N169" s="13" t="str">
        <f t="shared" si="34"/>
        <v>#N/A</v>
      </c>
      <c r="O169" s="9">
        <f>countif(M:M,A169)</f>
        <v>0</v>
      </c>
      <c r="P169" s="9">
        <f t="shared" si="5"/>
        <v>0</v>
      </c>
      <c r="Q169" s="9"/>
      <c r="R169" s="9" t="str">
        <f t="shared" si="65"/>
        <v>#REF!</v>
      </c>
      <c r="Z169" s="13"/>
      <c r="AA169" s="13"/>
      <c r="AF169" s="13"/>
      <c r="AG169" s="13"/>
      <c r="AH169" s="13"/>
    </row>
    <row r="170">
      <c r="A170" s="9">
        <v>169.0</v>
      </c>
      <c r="B170" s="9">
        <v>1158.0</v>
      </c>
      <c r="C170" s="13"/>
      <c r="D170" s="13"/>
      <c r="E170" s="13"/>
      <c r="F170" s="18"/>
      <c r="G170" s="12"/>
      <c r="H170" s="10">
        <v>45132.0</v>
      </c>
      <c r="I170" s="12"/>
      <c r="J170" s="18"/>
      <c r="K170" s="13"/>
      <c r="L170" s="13"/>
      <c r="M170" s="13"/>
      <c r="N170" s="13" t="str">
        <f t="shared" si="34"/>
        <v>#N/A</v>
      </c>
      <c r="O170" s="13"/>
      <c r="P170" s="9">
        <f t="shared" si="5"/>
        <v>0</v>
      </c>
      <c r="Q170" s="20">
        <f t="shared" ref="Q170:Q171" si="67">today()-xlookup(A170,M:M,J:J,"",0,-1)</f>
        <v>46012</v>
      </c>
      <c r="R170" s="9" t="str">
        <f t="shared" si="65"/>
        <v>#REF!</v>
      </c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</row>
    <row r="171">
      <c r="A171" s="9">
        <v>170.0</v>
      </c>
      <c r="B171" s="9">
        <v>1144.0</v>
      </c>
      <c r="C171" s="13"/>
      <c r="D171" s="13"/>
      <c r="E171" s="13"/>
      <c r="F171" s="18"/>
      <c r="G171" s="12"/>
      <c r="H171" s="10">
        <v>45140.0</v>
      </c>
      <c r="I171" s="12"/>
      <c r="J171" s="18"/>
      <c r="K171" s="9" t="s">
        <v>49</v>
      </c>
      <c r="L171" s="13"/>
      <c r="M171" s="13"/>
      <c r="N171" s="13" t="str">
        <f t="shared" si="34"/>
        <v>#N/A</v>
      </c>
      <c r="O171" s="13"/>
      <c r="P171" s="9">
        <f t="shared" si="5"/>
        <v>0</v>
      </c>
      <c r="Q171" s="20">
        <f t="shared" si="67"/>
        <v>46012</v>
      </c>
      <c r="R171" s="9" t="str">
        <f>if(if("m"=K171,true,countif(Cull!A:A,B:B)&gt;0),"X","")</f>
        <v>X</v>
      </c>
      <c r="S171" s="9" t="s">
        <v>155</v>
      </c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</row>
    <row r="172">
      <c r="A172" s="9">
        <v>171.0</v>
      </c>
      <c r="B172" s="13"/>
      <c r="C172" s="13"/>
      <c r="D172" s="13"/>
      <c r="E172" s="13"/>
      <c r="F172" s="18"/>
      <c r="G172" s="12"/>
      <c r="H172" s="10">
        <v>45139.0</v>
      </c>
      <c r="I172" s="12"/>
      <c r="J172" s="18"/>
      <c r="K172" s="13"/>
      <c r="L172" s="13"/>
      <c r="M172" s="13"/>
      <c r="N172" s="13" t="str">
        <f t="shared" si="34"/>
        <v>#N/A</v>
      </c>
      <c r="O172" s="13"/>
      <c r="P172" s="9">
        <f t="shared" si="5"/>
        <v>0</v>
      </c>
      <c r="Q172" s="9"/>
      <c r="R172" s="9" t="str">
        <f t="shared" ref="R172:R174" si="68">if("m"=K172,"X",if(or(countif(Cull!A:A,B:B)&gt;0,"X"= XLOOKUP(M:M,A:A,R:R)),"X",""))</f>
        <v>#REF!</v>
      </c>
      <c r="S172" s="9" t="s">
        <v>156</v>
      </c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</row>
    <row r="173">
      <c r="A173" s="9">
        <v>172.0</v>
      </c>
      <c r="C173" s="13"/>
      <c r="F173" s="18"/>
      <c r="G173" s="12"/>
      <c r="H173" s="18"/>
      <c r="I173" s="12"/>
      <c r="J173" s="18"/>
      <c r="K173" s="13"/>
      <c r="N173" s="13" t="str">
        <f t="shared" si="34"/>
        <v>#N/A</v>
      </c>
      <c r="O173" s="9">
        <f t="shared" ref="O173:O177" si="69">countif(M:M,A173)</f>
        <v>0</v>
      </c>
      <c r="P173" s="9">
        <f t="shared" si="5"/>
        <v>0</v>
      </c>
      <c r="Q173" s="9"/>
      <c r="R173" s="9" t="str">
        <f t="shared" si="68"/>
        <v>#REF!</v>
      </c>
      <c r="Z173" s="13"/>
      <c r="AA173" s="13"/>
      <c r="AF173" s="13"/>
      <c r="AG173" s="13"/>
      <c r="AH173" s="13"/>
    </row>
    <row r="174">
      <c r="A174" s="9">
        <v>173.0</v>
      </c>
      <c r="B174" s="9">
        <v>1200.0</v>
      </c>
      <c r="C174" s="9" t="s">
        <v>157</v>
      </c>
      <c r="D174" s="13"/>
      <c r="E174" s="13"/>
      <c r="F174" s="18"/>
      <c r="G174" s="12"/>
      <c r="H174" s="31">
        <v>45424.0</v>
      </c>
      <c r="I174" s="12"/>
      <c r="J174" s="10">
        <v>45278.0</v>
      </c>
      <c r="K174" s="9" t="s">
        <v>49</v>
      </c>
      <c r="L174" s="9">
        <v>93.0</v>
      </c>
      <c r="M174" s="9">
        <v>103.0</v>
      </c>
      <c r="N174" s="13">
        <f t="shared" si="34"/>
        <v>1115</v>
      </c>
      <c r="O174" s="9">
        <f t="shared" si="69"/>
        <v>0</v>
      </c>
      <c r="P174" s="9">
        <f t="shared" si="5"/>
        <v>0</v>
      </c>
      <c r="Q174" s="20">
        <f t="shared" ref="Q174:Q177" si="70">today()-xlookup(A174,M:M,J:J,"",0,-1)</f>
        <v>46012</v>
      </c>
      <c r="R174" s="9" t="str">
        <f t="shared" si="68"/>
        <v>X</v>
      </c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</row>
    <row r="175">
      <c r="A175" s="32">
        <v>174.0</v>
      </c>
      <c r="B175" s="32">
        <v>1201.0</v>
      </c>
      <c r="C175" s="33"/>
      <c r="D175" s="33"/>
      <c r="E175" s="33"/>
      <c r="F175" s="34"/>
      <c r="G175" s="35"/>
      <c r="H175" s="36">
        <v>45814.0</v>
      </c>
      <c r="I175" s="35"/>
      <c r="J175" s="36">
        <v>45278.0</v>
      </c>
      <c r="K175" s="32" t="s">
        <v>31</v>
      </c>
      <c r="L175" s="32">
        <v>93.0</v>
      </c>
      <c r="M175" s="32">
        <v>113.0</v>
      </c>
      <c r="N175" s="33">
        <f t="shared" si="34"/>
        <v>1120</v>
      </c>
      <c r="O175" s="32">
        <f t="shared" si="69"/>
        <v>1</v>
      </c>
      <c r="P175" s="9">
        <f t="shared" si="5"/>
        <v>1</v>
      </c>
      <c r="Q175" s="9">
        <f t="shared" si="70"/>
        <v>268</v>
      </c>
      <c r="R175" s="9" t="str">
        <f>if(if("m"=K175,true,countif(Cull!A:A,B:B)&gt;0),"X","")</f>
        <v>#REF!</v>
      </c>
      <c r="S175" s="37" t="s">
        <v>158</v>
      </c>
      <c r="T175" s="32"/>
      <c r="U175" s="32"/>
      <c r="V175" s="32"/>
      <c r="W175" s="32"/>
      <c r="X175" s="32"/>
      <c r="Y175" s="32" t="s">
        <v>43</v>
      </c>
      <c r="Z175" s="32" t="s">
        <v>43</v>
      </c>
      <c r="AA175" s="32" t="s">
        <v>39</v>
      </c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</row>
    <row r="176">
      <c r="A176" s="9">
        <v>175.0</v>
      </c>
      <c r="B176" s="9">
        <v>1202.0</v>
      </c>
      <c r="C176" s="9" t="s">
        <v>157</v>
      </c>
      <c r="D176" s="13"/>
      <c r="E176" s="13"/>
      <c r="F176" s="18"/>
      <c r="G176" s="12"/>
      <c r="H176" s="31">
        <v>45576.0</v>
      </c>
      <c r="I176" s="12"/>
      <c r="J176" s="10">
        <v>45289.0</v>
      </c>
      <c r="K176" s="9" t="s">
        <v>49</v>
      </c>
      <c r="L176" s="9">
        <v>93.0</v>
      </c>
      <c r="M176" s="9">
        <v>67.0</v>
      </c>
      <c r="N176" s="13">
        <f t="shared" si="34"/>
        <v>1042</v>
      </c>
      <c r="O176" s="9">
        <f t="shared" si="69"/>
        <v>0</v>
      </c>
      <c r="P176" s="9">
        <f t="shared" si="5"/>
        <v>0</v>
      </c>
      <c r="Q176" s="20">
        <f t="shared" si="70"/>
        <v>46012</v>
      </c>
      <c r="R176" s="9" t="str">
        <f t="shared" ref="R176:R178" si="71">if("m"=K176,"X",if(or(countif(Cull!A:A,B:B)&gt;0,"X"= XLOOKUP(M:M,A:A,R:R)),"X",""))</f>
        <v>X</v>
      </c>
      <c r="S176" s="9" t="s">
        <v>159</v>
      </c>
      <c r="T176" s="9"/>
      <c r="U176" s="9"/>
      <c r="V176" s="9"/>
      <c r="W176" s="9"/>
      <c r="X176" s="9"/>
      <c r="Y176" s="9"/>
      <c r="Z176" s="9"/>
      <c r="AA176" s="9" t="s">
        <v>39</v>
      </c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</row>
    <row r="177">
      <c r="A177" s="9">
        <v>176.0</v>
      </c>
      <c r="B177" s="9">
        <v>1203.0</v>
      </c>
      <c r="C177" s="9" t="s">
        <v>157</v>
      </c>
      <c r="D177" s="13"/>
      <c r="E177" s="13"/>
      <c r="F177" s="18"/>
      <c r="G177" s="12"/>
      <c r="H177" s="31">
        <v>45576.0</v>
      </c>
      <c r="I177" s="12"/>
      <c r="J177" s="10">
        <v>45289.0</v>
      </c>
      <c r="K177" s="9" t="s">
        <v>49</v>
      </c>
      <c r="L177" s="9">
        <v>93.0</v>
      </c>
      <c r="M177" s="9">
        <v>150.0</v>
      </c>
      <c r="N177" s="13">
        <f t="shared" si="34"/>
        <v>1188</v>
      </c>
      <c r="O177" s="9">
        <f t="shared" si="69"/>
        <v>0</v>
      </c>
      <c r="P177" s="9">
        <f t="shared" si="5"/>
        <v>0</v>
      </c>
      <c r="Q177" s="20">
        <f t="shared" si="70"/>
        <v>46012</v>
      </c>
      <c r="R177" s="9" t="str">
        <f t="shared" si="71"/>
        <v>X</v>
      </c>
      <c r="S177" s="9" t="s">
        <v>160</v>
      </c>
      <c r="T177" s="9"/>
      <c r="U177" s="9"/>
      <c r="V177" s="9"/>
      <c r="W177" s="9"/>
      <c r="X177" s="9"/>
      <c r="Y177" s="9"/>
      <c r="Z177" s="9"/>
      <c r="AA177" s="9" t="s">
        <v>39</v>
      </c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</row>
    <row r="178">
      <c r="A178" s="9">
        <v>177.0</v>
      </c>
      <c r="B178" s="13"/>
      <c r="C178" s="13"/>
      <c r="D178" s="13"/>
      <c r="E178" s="13"/>
      <c r="F178" s="18"/>
      <c r="G178" s="12"/>
      <c r="H178" s="10">
        <v>45293.0</v>
      </c>
      <c r="I178" s="12"/>
      <c r="J178" s="10">
        <v>45289.0</v>
      </c>
      <c r="K178" s="9" t="s">
        <v>31</v>
      </c>
      <c r="L178" s="9">
        <v>93.0</v>
      </c>
      <c r="M178" s="9">
        <v>150.0</v>
      </c>
      <c r="N178" s="13">
        <f t="shared" si="34"/>
        <v>1188</v>
      </c>
      <c r="O178" s="13"/>
      <c r="P178" s="9">
        <f t="shared" si="5"/>
        <v>0</v>
      </c>
      <c r="Q178" s="9"/>
      <c r="R178" s="9" t="str">
        <f t="shared" si="71"/>
        <v>#REF!</v>
      </c>
      <c r="S178" s="9" t="s">
        <v>161</v>
      </c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</row>
    <row r="179">
      <c r="A179" s="9">
        <v>178.0</v>
      </c>
      <c r="B179" s="9">
        <v>1204.0</v>
      </c>
      <c r="C179" s="13"/>
      <c r="D179" s="9">
        <v>1.0</v>
      </c>
      <c r="E179" s="13"/>
      <c r="F179" s="18"/>
      <c r="G179" s="12"/>
      <c r="H179" s="10">
        <v>45801.0</v>
      </c>
      <c r="I179" s="12"/>
      <c r="J179" s="10">
        <v>45295.0</v>
      </c>
      <c r="K179" s="9" t="s">
        <v>31</v>
      </c>
      <c r="L179" s="9">
        <v>93.0</v>
      </c>
      <c r="M179" s="9">
        <v>99.0</v>
      </c>
      <c r="N179" s="13">
        <f t="shared" si="34"/>
        <v>1107</v>
      </c>
      <c r="O179" s="9">
        <f t="shared" ref="O179:O195" si="72">countif(M:M,A179)</f>
        <v>1</v>
      </c>
      <c r="P179" s="9">
        <f t="shared" si="5"/>
        <v>1</v>
      </c>
      <c r="Q179" s="9">
        <f t="shared" ref="Q179:Q195" si="73">today()-xlookup(A179,M:M,J:J,"",0,-1)</f>
        <v>292</v>
      </c>
      <c r="R179" s="9" t="str">
        <f>if(if("m"=K179,true,countif(Cull!A:A,B:B)&gt;0),"X","")</f>
        <v>#REF!</v>
      </c>
      <c r="S179" s="19" t="s">
        <v>162</v>
      </c>
      <c r="T179" s="9"/>
      <c r="U179" s="9"/>
      <c r="V179" s="9"/>
      <c r="W179" s="9" t="s">
        <v>43</v>
      </c>
      <c r="X179" s="9"/>
      <c r="Y179" s="9"/>
      <c r="Z179" s="9" t="s">
        <v>43</v>
      </c>
      <c r="AA179" s="9" t="s">
        <v>39</v>
      </c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</row>
    <row r="180">
      <c r="A180" s="9">
        <v>179.0</v>
      </c>
      <c r="B180" s="9">
        <v>1205.0</v>
      </c>
      <c r="C180" s="13"/>
      <c r="D180" s="13">
        <f t="shared" ref="D180:D225" si="74">D179+1</f>
        <v>2</v>
      </c>
      <c r="E180" s="13"/>
      <c r="F180" s="18"/>
      <c r="G180" s="12"/>
      <c r="H180" s="10">
        <v>45594.0</v>
      </c>
      <c r="I180" s="12"/>
      <c r="J180" s="10">
        <v>45296.0</v>
      </c>
      <c r="K180" s="9" t="s">
        <v>31</v>
      </c>
      <c r="L180" s="9">
        <v>93.0</v>
      </c>
      <c r="M180" s="9">
        <v>112.0</v>
      </c>
      <c r="N180" s="13">
        <f t="shared" si="34"/>
        <v>1119</v>
      </c>
      <c r="O180" s="9">
        <f t="shared" si="72"/>
        <v>0</v>
      </c>
      <c r="P180" s="9">
        <f t="shared" si="5"/>
        <v>0</v>
      </c>
      <c r="Q180" s="20">
        <f t="shared" si="73"/>
        <v>46012</v>
      </c>
      <c r="R180" s="9" t="str">
        <f t="array" ref="R180">if("m"=K180,"X",if(or(countif(Cull!A:A,B:B)&gt;0,"X"= XLOOKUP(M:M,A:A,R:R)),"X",""))</f>
        <v>#REF!</v>
      </c>
      <c r="S180" s="9" t="s">
        <v>163</v>
      </c>
      <c r="T180" s="9"/>
      <c r="U180" s="9"/>
      <c r="V180" s="9"/>
      <c r="W180" s="9"/>
      <c r="X180" s="9"/>
      <c r="Y180" s="9"/>
      <c r="Z180" s="9" t="s">
        <v>43</v>
      </c>
      <c r="AA180" s="9" t="s">
        <v>39</v>
      </c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</row>
    <row r="181">
      <c r="A181" s="9">
        <v>180.0</v>
      </c>
      <c r="B181" s="9">
        <v>1206.0</v>
      </c>
      <c r="C181" s="13"/>
      <c r="D181" s="13">
        <f t="shared" si="74"/>
        <v>3</v>
      </c>
      <c r="F181" s="18"/>
      <c r="G181" s="12"/>
      <c r="H181" s="18"/>
      <c r="I181" s="12"/>
      <c r="J181" s="10">
        <v>45297.0</v>
      </c>
      <c r="K181" s="9" t="s">
        <v>31</v>
      </c>
      <c r="L181" s="9">
        <v>93.0</v>
      </c>
      <c r="M181" s="9">
        <v>117.0</v>
      </c>
      <c r="N181" s="13">
        <f t="shared" si="34"/>
        <v>1129</v>
      </c>
      <c r="O181" s="9">
        <f t="shared" si="72"/>
        <v>0</v>
      </c>
      <c r="P181" s="9">
        <f t="shared" si="5"/>
        <v>0</v>
      </c>
      <c r="Q181" s="20">
        <f t="shared" si="73"/>
        <v>46012</v>
      </c>
      <c r="R181" s="9" t="str">
        <f t="shared" ref="R181:R183" si="75">if(if("m"=K181,true,countif(Cull!A:A,B:B)&gt;0),"X","")</f>
        <v>#REF!</v>
      </c>
      <c r="S181" s="28"/>
      <c r="Z181" s="13"/>
      <c r="AA181" s="13"/>
      <c r="AF181" s="13"/>
      <c r="AG181" s="13"/>
      <c r="AH181" s="13"/>
    </row>
    <row r="182">
      <c r="A182" s="9">
        <v>181.0</v>
      </c>
      <c r="B182" s="9">
        <v>1208.0</v>
      </c>
      <c r="C182" s="13"/>
      <c r="D182" s="13">
        <f t="shared" si="74"/>
        <v>4</v>
      </c>
      <c r="E182" s="13"/>
      <c r="F182" s="18"/>
      <c r="G182" s="12"/>
      <c r="H182" s="10">
        <v>45826.0</v>
      </c>
      <c r="I182" s="12"/>
      <c r="J182" s="10">
        <v>45298.0</v>
      </c>
      <c r="K182" s="9" t="s">
        <v>31</v>
      </c>
      <c r="L182" s="9">
        <v>93.0</v>
      </c>
      <c r="M182" s="9">
        <v>28.0</v>
      </c>
      <c r="N182" s="13">
        <f t="shared" si="34"/>
        <v>32</v>
      </c>
      <c r="O182" s="9">
        <f t="shared" si="72"/>
        <v>1</v>
      </c>
      <c r="P182" s="9">
        <f t="shared" si="5"/>
        <v>1</v>
      </c>
      <c r="Q182" s="9">
        <f t="shared" si="73"/>
        <v>276</v>
      </c>
      <c r="R182" s="9" t="str">
        <f t="shared" si="75"/>
        <v>#REF!</v>
      </c>
      <c r="S182" s="28"/>
      <c r="T182" s="9"/>
      <c r="U182" s="9"/>
      <c r="V182" s="9"/>
      <c r="W182" s="9" t="s">
        <v>43</v>
      </c>
      <c r="X182" s="9"/>
      <c r="Y182" s="9" t="s">
        <v>43</v>
      </c>
      <c r="Z182" s="9" t="s">
        <v>43</v>
      </c>
      <c r="AA182" s="9" t="s">
        <v>39</v>
      </c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</row>
    <row r="183">
      <c r="A183" s="9">
        <v>182.0</v>
      </c>
      <c r="B183" s="9">
        <v>1209.0</v>
      </c>
      <c r="C183" s="13"/>
      <c r="D183" s="13">
        <f t="shared" si="74"/>
        <v>5</v>
      </c>
      <c r="E183" s="13"/>
      <c r="F183" s="18"/>
      <c r="G183" s="12"/>
      <c r="H183" s="10">
        <v>45826.0</v>
      </c>
      <c r="I183" s="12"/>
      <c r="J183" s="10">
        <v>45298.0</v>
      </c>
      <c r="K183" s="9" t="s">
        <v>31</v>
      </c>
      <c r="L183" s="9">
        <v>93.0</v>
      </c>
      <c r="M183" s="9">
        <v>28.0</v>
      </c>
      <c r="N183" s="13">
        <f t="shared" si="34"/>
        <v>32</v>
      </c>
      <c r="O183" s="9">
        <f t="shared" si="72"/>
        <v>2</v>
      </c>
      <c r="P183" s="9">
        <f t="shared" si="5"/>
        <v>2</v>
      </c>
      <c r="Q183" s="9">
        <f t="shared" si="73"/>
        <v>268</v>
      </c>
      <c r="R183" s="9" t="str">
        <f t="shared" si="75"/>
        <v>#REF!</v>
      </c>
      <c r="S183" s="28"/>
      <c r="T183" s="9"/>
      <c r="U183" s="9"/>
      <c r="V183" s="9"/>
      <c r="W183" s="9" t="s">
        <v>43</v>
      </c>
      <c r="X183" s="9"/>
      <c r="Y183" s="9" t="s">
        <v>43</v>
      </c>
      <c r="Z183" s="9" t="s">
        <v>43</v>
      </c>
      <c r="AA183" s="9" t="s">
        <v>39</v>
      </c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</row>
    <row r="184">
      <c r="A184" s="9">
        <v>183.0</v>
      </c>
      <c r="B184" s="9">
        <v>1210.0</v>
      </c>
      <c r="C184" s="13"/>
      <c r="D184" s="13">
        <f t="shared" si="74"/>
        <v>6</v>
      </c>
      <c r="E184" s="13"/>
      <c r="F184" s="18"/>
      <c r="G184" s="12"/>
      <c r="H184" s="31">
        <v>45576.0</v>
      </c>
      <c r="I184" s="12"/>
      <c r="J184" s="10">
        <v>45298.0</v>
      </c>
      <c r="K184" s="9" t="s">
        <v>49</v>
      </c>
      <c r="L184" s="9">
        <v>93.0</v>
      </c>
      <c r="M184" s="9">
        <v>91.0</v>
      </c>
      <c r="N184" s="13">
        <f t="shared" si="34"/>
        <v>1110</v>
      </c>
      <c r="O184" s="9">
        <f t="shared" si="72"/>
        <v>0</v>
      </c>
      <c r="P184" s="9">
        <f t="shared" si="5"/>
        <v>0</v>
      </c>
      <c r="Q184" s="20">
        <f t="shared" si="73"/>
        <v>46012</v>
      </c>
      <c r="R184" s="9" t="str">
        <f t="shared" ref="R184:R186" si="76">if("m"=K184,"X",if(or(countif(Cull!A:A,B:B)&gt;0,"X"= XLOOKUP(M:M,A:A,R:R)),"X",""))</f>
        <v>X</v>
      </c>
      <c r="S184" s="13"/>
      <c r="T184" s="9"/>
      <c r="U184" s="9"/>
      <c r="V184" s="9"/>
      <c r="W184" s="9"/>
      <c r="X184" s="9"/>
      <c r="Y184" s="9"/>
      <c r="Z184" s="9"/>
      <c r="AA184" s="9" t="s">
        <v>39</v>
      </c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</row>
    <row r="185">
      <c r="A185" s="9">
        <v>184.0</v>
      </c>
      <c r="B185" s="9">
        <v>1211.0</v>
      </c>
      <c r="C185" s="13"/>
      <c r="D185" s="13">
        <f t="shared" si="74"/>
        <v>7</v>
      </c>
      <c r="E185" s="13"/>
      <c r="F185" s="18"/>
      <c r="G185" s="12"/>
      <c r="H185" s="31">
        <v>45424.0</v>
      </c>
      <c r="I185" s="12"/>
      <c r="J185" s="10">
        <v>45298.0</v>
      </c>
      <c r="K185" s="9" t="s">
        <v>49</v>
      </c>
      <c r="L185" s="9">
        <v>93.0</v>
      </c>
      <c r="M185" s="9">
        <v>91.0</v>
      </c>
      <c r="N185" s="13">
        <f t="shared" si="34"/>
        <v>1110</v>
      </c>
      <c r="O185" s="9">
        <f t="shared" si="72"/>
        <v>0</v>
      </c>
      <c r="P185" s="9">
        <f t="shared" si="5"/>
        <v>0</v>
      </c>
      <c r="Q185" s="20">
        <f t="shared" si="73"/>
        <v>46012</v>
      </c>
      <c r="R185" s="9" t="str">
        <f t="shared" si="76"/>
        <v>X</v>
      </c>
      <c r="S185" s="13"/>
      <c r="T185" s="9"/>
      <c r="U185" s="9"/>
      <c r="V185" s="9"/>
      <c r="W185" s="9"/>
      <c r="X185" s="9"/>
      <c r="Y185" s="9"/>
      <c r="Z185" s="9"/>
      <c r="AA185" s="9" t="s">
        <v>39</v>
      </c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</row>
    <row r="186">
      <c r="A186" s="9">
        <v>185.0</v>
      </c>
      <c r="B186" s="9">
        <v>1212.0</v>
      </c>
      <c r="C186" s="13"/>
      <c r="D186" s="13">
        <f t="shared" si="74"/>
        <v>8</v>
      </c>
      <c r="E186" s="13"/>
      <c r="F186" s="18"/>
      <c r="G186" s="12"/>
      <c r="H186" s="10">
        <v>45602.0</v>
      </c>
      <c r="I186" s="12"/>
      <c r="J186" s="10">
        <v>45299.0</v>
      </c>
      <c r="K186" s="9" t="s">
        <v>31</v>
      </c>
      <c r="L186" s="9">
        <v>93.0</v>
      </c>
      <c r="M186" s="9">
        <v>134.0</v>
      </c>
      <c r="N186" s="13">
        <f t="shared" si="34"/>
        <v>1179</v>
      </c>
      <c r="O186" s="9">
        <f t="shared" si="72"/>
        <v>0</v>
      </c>
      <c r="P186" s="9">
        <f t="shared" si="5"/>
        <v>0</v>
      </c>
      <c r="Q186" s="20">
        <f t="shared" si="73"/>
        <v>46012</v>
      </c>
      <c r="R186" s="9" t="str">
        <f t="shared" si="76"/>
        <v>#REF!</v>
      </c>
      <c r="S186" s="9" t="s">
        <v>163</v>
      </c>
      <c r="T186" s="9"/>
      <c r="U186" s="9"/>
      <c r="V186" s="9"/>
      <c r="W186" s="9"/>
      <c r="X186" s="9"/>
      <c r="Y186" s="9"/>
      <c r="Z186" s="9" t="s">
        <v>43</v>
      </c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</row>
    <row r="187">
      <c r="A187" s="9">
        <v>186.0</v>
      </c>
      <c r="B187" s="9">
        <v>1213.0</v>
      </c>
      <c r="C187" s="13"/>
      <c r="D187" s="13">
        <f t="shared" si="74"/>
        <v>9</v>
      </c>
      <c r="E187" s="13"/>
      <c r="F187" s="18"/>
      <c r="G187" s="12"/>
      <c r="H187" s="10">
        <v>45356.0</v>
      </c>
      <c r="I187" s="12"/>
      <c r="J187" s="10">
        <v>45299.0</v>
      </c>
      <c r="K187" s="9" t="s">
        <v>49</v>
      </c>
      <c r="L187" s="9">
        <v>93.0</v>
      </c>
      <c r="M187" s="9">
        <v>134.0</v>
      </c>
      <c r="N187" s="13">
        <f t="shared" si="34"/>
        <v>1179</v>
      </c>
      <c r="O187" s="9">
        <f t="shared" si="72"/>
        <v>0</v>
      </c>
      <c r="P187" s="9">
        <f t="shared" si="5"/>
        <v>0</v>
      </c>
      <c r="Q187" s="20">
        <f t="shared" si="73"/>
        <v>46012</v>
      </c>
      <c r="R187" s="9" t="str">
        <f t="shared" ref="R187:R188" si="77">if(if("m"=K187,true,countif(Cull!A:A,B:B)&gt;0),"X","")</f>
        <v>X</v>
      </c>
      <c r="S187" s="9" t="s">
        <v>164</v>
      </c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</row>
    <row r="188">
      <c r="A188" s="9">
        <v>187.0</v>
      </c>
      <c r="B188" s="9">
        <v>1207.0</v>
      </c>
      <c r="C188" s="13"/>
      <c r="D188" s="13">
        <f t="shared" si="74"/>
        <v>10</v>
      </c>
      <c r="E188" s="13"/>
      <c r="F188" s="18"/>
      <c r="G188" s="12"/>
      <c r="H188" s="10">
        <v>45801.0</v>
      </c>
      <c r="I188" s="12"/>
      <c r="J188" s="10">
        <v>45300.0</v>
      </c>
      <c r="K188" s="9" t="s">
        <v>31</v>
      </c>
      <c r="L188" s="9">
        <v>93.0</v>
      </c>
      <c r="M188" s="9">
        <v>15.0</v>
      </c>
      <c r="N188" s="13" t="str">
        <f t="shared" si="34"/>
        <v>000015</v>
      </c>
      <c r="O188" s="9">
        <f t="shared" si="72"/>
        <v>2</v>
      </c>
      <c r="P188" s="9">
        <f t="shared" si="5"/>
        <v>2</v>
      </c>
      <c r="Q188" s="9">
        <f t="shared" si="73"/>
        <v>285</v>
      </c>
      <c r="R188" s="9" t="str">
        <f t="shared" si="77"/>
        <v>#REF!</v>
      </c>
      <c r="S188" s="19" t="s">
        <v>165</v>
      </c>
      <c r="T188" s="9"/>
      <c r="U188" s="9"/>
      <c r="V188" s="9"/>
      <c r="W188" s="9" t="s">
        <v>43</v>
      </c>
      <c r="X188" s="9"/>
      <c r="Y188" s="9"/>
      <c r="Z188" s="9" t="s">
        <v>43</v>
      </c>
      <c r="AA188" s="9" t="s">
        <v>39</v>
      </c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</row>
    <row r="189">
      <c r="A189" s="9">
        <v>188.0</v>
      </c>
      <c r="B189" s="9">
        <v>1214.0</v>
      </c>
      <c r="C189" s="13"/>
      <c r="D189" s="13">
        <f t="shared" si="74"/>
        <v>11</v>
      </c>
      <c r="E189" s="13"/>
      <c r="F189" s="18"/>
      <c r="G189" s="12"/>
      <c r="H189" s="31">
        <v>45576.0</v>
      </c>
      <c r="I189" s="12"/>
      <c r="J189" s="10">
        <v>45301.0</v>
      </c>
      <c r="K189" s="9" t="s">
        <v>49</v>
      </c>
      <c r="L189" s="9">
        <v>93.0</v>
      </c>
      <c r="M189" s="9">
        <v>9.0</v>
      </c>
      <c r="N189" s="13" t="str">
        <f t="shared" si="34"/>
        <v>000017</v>
      </c>
      <c r="O189" s="9">
        <f t="shared" si="72"/>
        <v>0</v>
      </c>
      <c r="P189" s="9">
        <f t="shared" si="5"/>
        <v>0</v>
      </c>
      <c r="Q189" s="20">
        <f t="shared" si="73"/>
        <v>46012</v>
      </c>
      <c r="R189" s="9" t="str">
        <f t="array" ref="R189">if("m"=K189,"X",if(or(countif(Cull!A:A,B:B)&gt;0,"X"= XLOOKUP(M:M,A:A,R:R)),"X",""))</f>
        <v>X</v>
      </c>
      <c r="S189" s="13"/>
      <c r="T189" s="9"/>
      <c r="U189" s="9"/>
      <c r="V189" s="9"/>
      <c r="W189" s="9"/>
      <c r="X189" s="9"/>
      <c r="Y189" s="9"/>
      <c r="Z189" s="9"/>
      <c r="AA189" s="9" t="s">
        <v>39</v>
      </c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</row>
    <row r="190">
      <c r="A190" s="9">
        <v>189.0</v>
      </c>
      <c r="B190" s="9">
        <v>1218.0</v>
      </c>
      <c r="C190" s="13"/>
      <c r="D190" s="13">
        <f t="shared" si="74"/>
        <v>12</v>
      </c>
      <c r="F190" s="18"/>
      <c r="G190" s="12"/>
      <c r="H190" s="18"/>
      <c r="I190" s="12"/>
      <c r="J190" s="10">
        <v>45302.0</v>
      </c>
      <c r="K190" s="9" t="s">
        <v>31</v>
      </c>
      <c r="L190" s="9">
        <v>93.0</v>
      </c>
      <c r="M190" s="9">
        <v>23.0</v>
      </c>
      <c r="N190" s="13" t="str">
        <f t="shared" si="34"/>
        <v>000014</v>
      </c>
      <c r="O190" s="9">
        <f t="shared" si="72"/>
        <v>0</v>
      </c>
      <c r="P190" s="9">
        <f t="shared" si="5"/>
        <v>0</v>
      </c>
      <c r="Q190" s="20">
        <f t="shared" si="73"/>
        <v>46012</v>
      </c>
      <c r="R190" s="9" t="str">
        <f t="shared" ref="R190:R191" si="78">if(if("m"=K190,true,countif(Cull!A:A,B:B)&gt;0),"X","")</f>
        <v>#REF!</v>
      </c>
      <c r="S190" s="19" t="s">
        <v>110</v>
      </c>
      <c r="Z190" s="13"/>
      <c r="AA190" s="13"/>
      <c r="AF190" s="13"/>
      <c r="AG190" s="13"/>
      <c r="AH190" s="13"/>
    </row>
    <row r="191">
      <c r="A191" s="9">
        <v>190.0</v>
      </c>
      <c r="B191" s="9">
        <v>1219.0</v>
      </c>
      <c r="C191" s="13"/>
      <c r="D191" s="13">
        <f t="shared" si="74"/>
        <v>13</v>
      </c>
      <c r="E191" s="13"/>
      <c r="F191" s="18"/>
      <c r="G191" s="12"/>
      <c r="H191" s="10">
        <v>45801.0</v>
      </c>
      <c r="I191" s="12"/>
      <c r="J191" s="10">
        <v>45302.0</v>
      </c>
      <c r="K191" s="9" t="s">
        <v>31</v>
      </c>
      <c r="L191" s="9">
        <v>93.0</v>
      </c>
      <c r="M191" s="9">
        <v>23.0</v>
      </c>
      <c r="N191" s="13" t="str">
        <f t="shared" si="34"/>
        <v>000014</v>
      </c>
      <c r="O191" s="9">
        <f t="shared" si="72"/>
        <v>0</v>
      </c>
      <c r="P191" s="9">
        <f t="shared" si="5"/>
        <v>0</v>
      </c>
      <c r="Q191" s="20">
        <f t="shared" si="73"/>
        <v>46012</v>
      </c>
      <c r="R191" s="9" t="str">
        <f t="shared" si="78"/>
        <v>#REF!</v>
      </c>
      <c r="S191" s="19" t="s">
        <v>166</v>
      </c>
      <c r="T191" s="9"/>
      <c r="U191" s="9"/>
      <c r="V191" s="9"/>
      <c r="W191" s="9"/>
      <c r="X191" s="9"/>
      <c r="Y191" s="9" t="s">
        <v>43</v>
      </c>
      <c r="Z191" s="9" t="s">
        <v>43</v>
      </c>
      <c r="AA191" s="9" t="s">
        <v>39</v>
      </c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</row>
    <row r="192">
      <c r="A192" s="9">
        <v>191.0</v>
      </c>
      <c r="B192" s="9">
        <v>1220.0</v>
      </c>
      <c r="C192" s="13"/>
      <c r="D192" s="13">
        <f t="shared" si="74"/>
        <v>14</v>
      </c>
      <c r="E192" s="13"/>
      <c r="F192" s="18"/>
      <c r="G192" s="12"/>
      <c r="H192" s="31">
        <v>45424.0</v>
      </c>
      <c r="I192" s="12"/>
      <c r="J192" s="10">
        <v>45302.0</v>
      </c>
      <c r="K192" s="9" t="s">
        <v>49</v>
      </c>
      <c r="L192" s="9">
        <v>93.0</v>
      </c>
      <c r="M192" s="9">
        <v>23.0</v>
      </c>
      <c r="N192" s="13" t="str">
        <f t="shared" si="34"/>
        <v>000014</v>
      </c>
      <c r="O192" s="9">
        <f t="shared" si="72"/>
        <v>0</v>
      </c>
      <c r="P192" s="9">
        <f t="shared" si="5"/>
        <v>0</v>
      </c>
      <c r="Q192" s="20">
        <f t="shared" si="73"/>
        <v>46012</v>
      </c>
      <c r="R192" s="9" t="str">
        <f t="array" ref="R192">if("m"=K192,"X",if(or(countif(Cull!A:A,B:B)&gt;0,"X"= XLOOKUP(M:M,A:A,R:R)),"X",""))</f>
        <v>X</v>
      </c>
      <c r="S192" s="9" t="s">
        <v>37</v>
      </c>
      <c r="T192" s="9"/>
      <c r="U192" s="9"/>
      <c r="V192" s="9"/>
      <c r="W192" s="9"/>
      <c r="X192" s="9"/>
      <c r="Y192" s="9"/>
      <c r="Z192" s="9"/>
      <c r="AA192" s="9" t="s">
        <v>39</v>
      </c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</row>
    <row r="193">
      <c r="A193" s="9">
        <v>192.0</v>
      </c>
      <c r="B193" s="9">
        <v>1215.0</v>
      </c>
      <c r="C193" s="13"/>
      <c r="D193" s="13">
        <f t="shared" si="74"/>
        <v>15</v>
      </c>
      <c r="E193" s="13"/>
      <c r="F193" s="18"/>
      <c r="G193" s="12"/>
      <c r="H193" s="10">
        <v>45818.0</v>
      </c>
      <c r="I193" s="12"/>
      <c r="J193" s="10">
        <v>45302.0</v>
      </c>
      <c r="K193" s="9" t="s">
        <v>31</v>
      </c>
      <c r="L193" s="9">
        <v>93.0</v>
      </c>
      <c r="M193" s="9">
        <v>22.0</v>
      </c>
      <c r="N193" s="13" t="str">
        <f t="shared" si="34"/>
        <v>000010</v>
      </c>
      <c r="O193" s="9">
        <f t="shared" si="72"/>
        <v>1</v>
      </c>
      <c r="P193" s="9">
        <f t="shared" si="5"/>
        <v>1</v>
      </c>
      <c r="Q193" s="9">
        <f t="shared" si="73"/>
        <v>257</v>
      </c>
      <c r="R193" s="9" t="str">
        <f t="shared" ref="R193:R194" si="79">if(if("m"=K193,true,countif(Cull!A:A,B:B)&gt;0),"X","")</f>
        <v>#REF!</v>
      </c>
      <c r="S193" s="19" t="s">
        <v>167</v>
      </c>
      <c r="T193" s="9"/>
      <c r="U193" s="9"/>
      <c r="V193" s="9"/>
      <c r="W193" s="9"/>
      <c r="X193" s="9"/>
      <c r="Y193" s="9" t="s">
        <v>43</v>
      </c>
      <c r="Z193" s="9" t="s">
        <v>43</v>
      </c>
      <c r="AA193" s="9" t="s">
        <v>39</v>
      </c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</row>
    <row r="194">
      <c r="A194" s="9">
        <v>193.0</v>
      </c>
      <c r="B194" s="9">
        <v>1216.0</v>
      </c>
      <c r="C194" s="13"/>
      <c r="D194" s="13">
        <f t="shared" si="74"/>
        <v>16</v>
      </c>
      <c r="E194" s="13"/>
      <c r="F194" s="18"/>
      <c r="G194" s="12"/>
      <c r="H194" s="10">
        <v>45801.0</v>
      </c>
      <c r="I194" s="12"/>
      <c r="J194" s="10">
        <v>45302.0</v>
      </c>
      <c r="K194" s="9" t="s">
        <v>31</v>
      </c>
      <c r="L194" s="9">
        <v>93.0</v>
      </c>
      <c r="M194" s="9">
        <v>21.0</v>
      </c>
      <c r="N194" s="13" t="str">
        <f t="shared" si="34"/>
        <v>000013</v>
      </c>
      <c r="O194" s="9">
        <f t="shared" si="72"/>
        <v>0</v>
      </c>
      <c r="P194" s="9">
        <f t="shared" si="5"/>
        <v>0</v>
      </c>
      <c r="Q194" s="20">
        <f t="shared" si="73"/>
        <v>46012</v>
      </c>
      <c r="R194" s="9" t="str">
        <f t="shared" si="79"/>
        <v>#REF!</v>
      </c>
      <c r="S194" s="19" t="s">
        <v>168</v>
      </c>
      <c r="T194" s="9"/>
      <c r="U194" s="9"/>
      <c r="V194" s="9"/>
      <c r="W194" s="9"/>
      <c r="X194" s="9"/>
      <c r="Y194" s="9" t="s">
        <v>43</v>
      </c>
      <c r="Z194" s="9" t="s">
        <v>43</v>
      </c>
      <c r="AA194" s="9" t="s">
        <v>39</v>
      </c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</row>
    <row r="195">
      <c r="A195" s="9">
        <v>194.0</v>
      </c>
      <c r="B195" s="9">
        <v>1217.0</v>
      </c>
      <c r="C195" s="13"/>
      <c r="D195" s="13">
        <f t="shared" si="74"/>
        <v>17</v>
      </c>
      <c r="E195" s="13"/>
      <c r="F195" s="18"/>
      <c r="G195" s="12"/>
      <c r="H195" s="31">
        <v>45424.0</v>
      </c>
      <c r="I195" s="12"/>
      <c r="J195" s="10">
        <v>45302.0</v>
      </c>
      <c r="K195" s="9" t="s">
        <v>49</v>
      </c>
      <c r="L195" s="9">
        <v>93.0</v>
      </c>
      <c r="M195" s="9" t="s">
        <v>73</v>
      </c>
      <c r="N195" s="13" t="str">
        <f t="shared" si="34"/>
        <v>#N/A</v>
      </c>
      <c r="O195" s="9">
        <f t="shared" si="72"/>
        <v>0</v>
      </c>
      <c r="P195" s="9">
        <f t="shared" si="5"/>
        <v>0</v>
      </c>
      <c r="Q195" s="20">
        <f t="shared" si="73"/>
        <v>46012</v>
      </c>
      <c r="R195" s="9" t="str">
        <f t="shared" ref="R195:R196" si="80">if("m"=K195,"X",if(or(countif(Cull!A:A,B:B)&gt;0,"X"= XLOOKUP(M:M,A:A,R:R)),"X",""))</f>
        <v>X</v>
      </c>
      <c r="S195" s="9" t="s">
        <v>169</v>
      </c>
      <c r="T195" s="9"/>
      <c r="U195" s="9"/>
      <c r="V195" s="9"/>
      <c r="W195" s="9"/>
      <c r="X195" s="9"/>
      <c r="Y195" s="9"/>
      <c r="Z195" s="9"/>
      <c r="AA195" s="9" t="s">
        <v>39</v>
      </c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</row>
    <row r="196">
      <c r="A196" s="9">
        <v>195.0</v>
      </c>
      <c r="B196" s="13"/>
      <c r="C196" s="13"/>
      <c r="D196" s="13">
        <f t="shared" si="74"/>
        <v>18</v>
      </c>
      <c r="E196" s="13"/>
      <c r="F196" s="18"/>
      <c r="G196" s="12"/>
      <c r="H196" s="10">
        <v>45306.0</v>
      </c>
      <c r="I196" s="12"/>
      <c r="J196" s="10">
        <v>45304.0</v>
      </c>
      <c r="K196" s="9" t="s">
        <v>49</v>
      </c>
      <c r="L196" s="9">
        <v>93.0</v>
      </c>
      <c r="M196" s="9">
        <v>28.0</v>
      </c>
      <c r="N196" s="13">
        <f t="shared" si="34"/>
        <v>32</v>
      </c>
      <c r="O196" s="13"/>
      <c r="P196" s="9">
        <f t="shared" si="5"/>
        <v>0</v>
      </c>
      <c r="Q196" s="9"/>
      <c r="R196" s="9" t="str">
        <f t="shared" si="80"/>
        <v>X</v>
      </c>
      <c r="S196" s="9" t="s">
        <v>170</v>
      </c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</row>
    <row r="197">
      <c r="A197" s="9">
        <v>196.0</v>
      </c>
      <c r="B197" s="9">
        <v>1224.0</v>
      </c>
      <c r="C197" s="13"/>
      <c r="D197" s="13">
        <f t="shared" si="74"/>
        <v>19</v>
      </c>
      <c r="E197" s="13"/>
      <c r="F197" s="18"/>
      <c r="G197" s="12"/>
      <c r="H197" s="10">
        <v>45801.0</v>
      </c>
      <c r="I197" s="12"/>
      <c r="J197" s="10">
        <v>45304.0</v>
      </c>
      <c r="K197" s="9" t="s">
        <v>31</v>
      </c>
      <c r="L197" s="9">
        <v>93.0</v>
      </c>
      <c r="M197" s="9">
        <v>28.0</v>
      </c>
      <c r="N197" s="13">
        <f t="shared" si="34"/>
        <v>32</v>
      </c>
      <c r="O197" s="9">
        <f t="shared" ref="O197:O243" si="81">countif(M:M,A197)</f>
        <v>0</v>
      </c>
      <c r="P197" s="9">
        <f t="shared" si="5"/>
        <v>0</v>
      </c>
      <c r="Q197" s="20">
        <f t="array" ref="Q197">today()-xlookup(A197,M:M,J:J,"",0,-1)</f>
        <v>46012</v>
      </c>
      <c r="R197" s="9" t="str">
        <f>if(if("m"=K197,true,countif(Cull!A:A,B:B)&gt;0),"X","")</f>
        <v>#REF!</v>
      </c>
      <c r="S197" s="28"/>
      <c r="T197" s="9"/>
      <c r="U197" s="9"/>
      <c r="V197" s="9"/>
      <c r="W197" s="9"/>
      <c r="X197" s="9"/>
      <c r="Y197" s="9" t="s">
        <v>43</v>
      </c>
      <c r="Z197" s="9" t="s">
        <v>43</v>
      </c>
      <c r="AA197" s="9" t="s">
        <v>39</v>
      </c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</row>
    <row r="198">
      <c r="A198" s="9">
        <v>197.0</v>
      </c>
      <c r="B198" s="13"/>
      <c r="C198" s="13"/>
      <c r="D198" s="13">
        <f t="shared" si="74"/>
        <v>20</v>
      </c>
      <c r="E198" s="13"/>
      <c r="F198" s="18"/>
      <c r="G198" s="12"/>
      <c r="H198" s="10">
        <v>45819.0</v>
      </c>
      <c r="I198" s="12"/>
      <c r="J198" s="10">
        <v>45304.0</v>
      </c>
      <c r="K198" s="9" t="s">
        <v>31</v>
      </c>
      <c r="L198" s="9">
        <v>93.0</v>
      </c>
      <c r="M198" s="9" t="s">
        <v>171</v>
      </c>
      <c r="N198" s="13" t="str">
        <f t="shared" si="34"/>
        <v>#N/A</v>
      </c>
      <c r="O198" s="9">
        <f t="shared" si="81"/>
        <v>0</v>
      </c>
      <c r="P198" s="9">
        <f t="shared" si="5"/>
        <v>0</v>
      </c>
      <c r="Q198" s="9"/>
      <c r="R198" s="9" t="str">
        <f t="shared" ref="R198:R199" si="82">if("m"=K198,"X",if(or(countif(Cull!A:A,B:B)&gt;0,"X"= XLOOKUP(M:M,A:A,R:R)),"X",""))</f>
        <v>#REF!</v>
      </c>
      <c r="S198" s="9" t="s">
        <v>172</v>
      </c>
      <c r="T198" s="9"/>
      <c r="U198" s="9"/>
      <c r="V198" s="9"/>
      <c r="W198" s="9"/>
      <c r="X198" s="9"/>
      <c r="Y198" s="9"/>
      <c r="Z198" s="9"/>
      <c r="AA198" s="9" t="s">
        <v>39</v>
      </c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</row>
    <row r="199">
      <c r="A199" s="9">
        <v>198.0</v>
      </c>
      <c r="B199" s="9">
        <v>1225.0</v>
      </c>
      <c r="C199" s="13"/>
      <c r="D199" s="13">
        <f t="shared" si="74"/>
        <v>21</v>
      </c>
      <c r="E199" s="13"/>
      <c r="F199" s="18"/>
      <c r="G199" s="12"/>
      <c r="H199" s="31">
        <v>45576.0</v>
      </c>
      <c r="I199" s="12"/>
      <c r="J199" s="10">
        <v>45304.0</v>
      </c>
      <c r="K199" s="9" t="s">
        <v>49</v>
      </c>
      <c r="L199" s="9">
        <v>93.0</v>
      </c>
      <c r="M199" s="9">
        <v>29.0</v>
      </c>
      <c r="N199" s="13">
        <f t="shared" si="34"/>
        <v>30</v>
      </c>
      <c r="O199" s="9">
        <f t="shared" si="81"/>
        <v>0</v>
      </c>
      <c r="P199" s="9">
        <f t="shared" si="5"/>
        <v>0</v>
      </c>
      <c r="Q199" s="20">
        <f t="shared" ref="Q199:Q226" si="83">today()-xlookup(A199,M:M,J:J,"",0,-1)</f>
        <v>46012</v>
      </c>
      <c r="R199" s="9" t="str">
        <f t="shared" si="82"/>
        <v>X</v>
      </c>
      <c r="S199" s="13"/>
      <c r="T199" s="9"/>
      <c r="U199" s="9"/>
      <c r="V199" s="9"/>
      <c r="W199" s="9"/>
      <c r="X199" s="9"/>
      <c r="Y199" s="9"/>
      <c r="Z199" s="9"/>
      <c r="AA199" s="9" t="s">
        <v>39</v>
      </c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</row>
    <row r="200">
      <c r="A200" s="9">
        <v>199.0</v>
      </c>
      <c r="B200" s="9">
        <v>1226.0</v>
      </c>
      <c r="C200" s="13"/>
      <c r="D200" s="13">
        <f t="shared" si="74"/>
        <v>22</v>
      </c>
      <c r="F200" s="18"/>
      <c r="G200" s="12"/>
      <c r="H200" s="18"/>
      <c r="I200" s="12"/>
      <c r="J200" s="10">
        <v>45304.0</v>
      </c>
      <c r="K200" s="9" t="s">
        <v>49</v>
      </c>
      <c r="L200" s="9">
        <v>93.0</v>
      </c>
      <c r="M200" s="9">
        <v>29.0</v>
      </c>
      <c r="N200" s="13">
        <f t="shared" si="34"/>
        <v>30</v>
      </c>
      <c r="O200" s="9">
        <f t="shared" si="81"/>
        <v>0</v>
      </c>
      <c r="P200" s="9">
        <f t="shared" si="5"/>
        <v>0</v>
      </c>
      <c r="Q200" s="20">
        <f t="shared" si="83"/>
        <v>46012</v>
      </c>
      <c r="R200" s="9" t="str">
        <f t="shared" ref="R200:R201" si="84">if(if("m"=K200,true,countif(Cull!A:A,B:B)&gt;0),"X","")</f>
        <v>X</v>
      </c>
      <c r="S200" s="28"/>
      <c r="T200" s="9"/>
      <c r="U200" s="9"/>
      <c r="V200" s="9"/>
      <c r="W200" s="9"/>
      <c r="X200" s="9"/>
      <c r="Y200" s="9"/>
      <c r="Z200" s="9"/>
      <c r="AA200" s="9" t="s">
        <v>39</v>
      </c>
      <c r="AF200" s="13"/>
      <c r="AG200" s="13"/>
      <c r="AH200" s="13"/>
    </row>
    <row r="201">
      <c r="A201" s="9">
        <v>200.0</v>
      </c>
      <c r="B201" s="9">
        <v>1222.0</v>
      </c>
      <c r="C201" s="13"/>
      <c r="D201" s="13">
        <f t="shared" si="74"/>
        <v>23</v>
      </c>
      <c r="F201" s="18"/>
      <c r="G201" s="12"/>
      <c r="H201" s="18"/>
      <c r="I201" s="12"/>
      <c r="J201" s="10">
        <v>45304.0</v>
      </c>
      <c r="K201" s="9" t="s">
        <v>31</v>
      </c>
      <c r="L201" s="9">
        <v>93.0</v>
      </c>
      <c r="M201" s="9">
        <v>33.0</v>
      </c>
      <c r="N201" s="13">
        <f t="shared" si="34"/>
        <v>1118</v>
      </c>
      <c r="O201" s="9">
        <f t="shared" si="81"/>
        <v>1</v>
      </c>
      <c r="P201" s="9">
        <f t="shared" si="5"/>
        <v>1</v>
      </c>
      <c r="Q201" s="9">
        <f t="shared" si="83"/>
        <v>292</v>
      </c>
      <c r="R201" s="9" t="str">
        <f t="shared" si="84"/>
        <v>#REF!</v>
      </c>
      <c r="S201" s="19" t="s">
        <v>173</v>
      </c>
      <c r="T201" s="9" t="s">
        <v>43</v>
      </c>
      <c r="U201" s="9"/>
      <c r="V201" s="9"/>
      <c r="W201" s="9" t="s">
        <v>43</v>
      </c>
      <c r="X201" s="9"/>
      <c r="Y201" s="9"/>
      <c r="Z201" s="9" t="s">
        <v>43</v>
      </c>
      <c r="AA201" s="9" t="s">
        <v>39</v>
      </c>
      <c r="AF201" s="13"/>
      <c r="AG201" s="13"/>
      <c r="AH201" s="13"/>
    </row>
    <row r="202">
      <c r="A202" s="9">
        <v>201.0</v>
      </c>
      <c r="B202" s="9">
        <v>1221.0</v>
      </c>
      <c r="C202" s="13"/>
      <c r="D202" s="13">
        <f t="shared" si="74"/>
        <v>24</v>
      </c>
      <c r="E202" s="13"/>
      <c r="F202" s="18"/>
      <c r="G202" s="12"/>
      <c r="H202" s="31">
        <v>45424.0</v>
      </c>
      <c r="I202" s="12"/>
      <c r="J202" s="10">
        <v>45304.0</v>
      </c>
      <c r="K202" s="9" t="s">
        <v>31</v>
      </c>
      <c r="L202" s="9">
        <v>93.0</v>
      </c>
      <c r="M202" s="9">
        <v>33.0</v>
      </c>
      <c r="N202" s="13">
        <f t="shared" si="34"/>
        <v>1118</v>
      </c>
      <c r="O202" s="9">
        <f t="shared" si="81"/>
        <v>0</v>
      </c>
      <c r="P202" s="9">
        <f t="shared" si="5"/>
        <v>0</v>
      </c>
      <c r="Q202" s="20">
        <f t="shared" si="83"/>
        <v>46012</v>
      </c>
      <c r="R202" s="9" t="str">
        <f t="array" ref="R202">if("m"=K202,"X",if(or(countif(Cull!A:A,B:B)&gt;0,"X"= XLOOKUP(M:M,A:A,R:R)),"X",""))</f>
        <v>#REF!</v>
      </c>
      <c r="S202" s="13"/>
      <c r="T202" s="9"/>
      <c r="U202" s="9"/>
      <c r="V202" s="9"/>
      <c r="W202" s="9"/>
      <c r="X202" s="9"/>
      <c r="Y202" s="9"/>
      <c r="Z202" s="9"/>
      <c r="AA202" s="9" t="s">
        <v>39</v>
      </c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</row>
    <row r="203">
      <c r="A203" s="9">
        <v>202.0</v>
      </c>
      <c r="B203" s="9">
        <v>1223.0</v>
      </c>
      <c r="C203" s="13"/>
      <c r="D203" s="13">
        <f t="shared" si="74"/>
        <v>25</v>
      </c>
      <c r="E203" s="13"/>
      <c r="F203" s="18"/>
      <c r="G203" s="12"/>
      <c r="H203" s="10">
        <v>45826.0</v>
      </c>
      <c r="I203" s="12"/>
      <c r="J203" s="10">
        <v>45304.0</v>
      </c>
      <c r="K203" s="9" t="s">
        <v>31</v>
      </c>
      <c r="L203" s="9">
        <v>93.0</v>
      </c>
      <c r="M203" s="9">
        <v>120.0</v>
      </c>
      <c r="N203" s="13">
        <f t="shared" si="34"/>
        <v>1131</v>
      </c>
      <c r="O203" s="9">
        <f t="shared" si="81"/>
        <v>2</v>
      </c>
      <c r="P203" s="9">
        <f t="shared" si="5"/>
        <v>2</v>
      </c>
      <c r="Q203" s="9">
        <f t="shared" si="83"/>
        <v>251</v>
      </c>
      <c r="R203" s="9" t="str">
        <f>if(if("m"=K203,true,countif(Cull!A:A,B:B)&gt;0),"X","")</f>
        <v>#REF!</v>
      </c>
      <c r="S203" s="28"/>
      <c r="T203" s="9"/>
      <c r="U203" s="9"/>
      <c r="V203" s="9"/>
      <c r="W203" s="9"/>
      <c r="X203" s="9"/>
      <c r="Y203" s="9"/>
      <c r="Z203" s="9" t="s">
        <v>43</v>
      </c>
      <c r="AA203" s="9" t="s">
        <v>39</v>
      </c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</row>
    <row r="204">
      <c r="A204" s="9">
        <v>203.0</v>
      </c>
      <c r="B204" s="9">
        <v>1227.0</v>
      </c>
      <c r="C204" s="13"/>
      <c r="D204" s="13">
        <f t="shared" si="74"/>
        <v>26</v>
      </c>
      <c r="E204" s="13"/>
      <c r="F204" s="18"/>
      <c r="G204" s="12"/>
      <c r="H204" s="31">
        <v>45424.0</v>
      </c>
      <c r="I204" s="12"/>
      <c r="J204" s="10">
        <v>45304.0</v>
      </c>
      <c r="K204" s="9" t="s">
        <v>49</v>
      </c>
      <c r="L204" s="9">
        <v>93.0</v>
      </c>
      <c r="M204" s="9">
        <v>94.0</v>
      </c>
      <c r="N204" s="13">
        <f t="shared" si="34"/>
        <v>1113</v>
      </c>
      <c r="O204" s="9">
        <f t="shared" si="81"/>
        <v>0</v>
      </c>
      <c r="P204" s="9">
        <f t="shared" si="5"/>
        <v>0</v>
      </c>
      <c r="Q204" s="20">
        <f t="shared" si="83"/>
        <v>46012</v>
      </c>
      <c r="R204" s="9" t="str">
        <f t="array" ref="R204">if("m"=K204,"X",if(or(countif(Cull!A:A,B:B)&gt;0,"X"= XLOOKUP(M:M,A:A,R:R)),"X",""))</f>
        <v>X</v>
      </c>
      <c r="S204" s="13"/>
      <c r="T204" s="9"/>
      <c r="U204" s="9"/>
      <c r="V204" s="9"/>
      <c r="W204" s="9"/>
      <c r="X204" s="9"/>
      <c r="Y204" s="9"/>
      <c r="Z204" s="9"/>
      <c r="AA204" s="9" t="s">
        <v>39</v>
      </c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</row>
    <row r="205">
      <c r="A205" s="9">
        <v>204.0</v>
      </c>
      <c r="B205" s="9">
        <v>1228.0</v>
      </c>
      <c r="C205" s="13"/>
      <c r="D205" s="13">
        <f t="shared" si="74"/>
        <v>27</v>
      </c>
      <c r="E205" s="13"/>
      <c r="F205" s="18"/>
      <c r="G205" s="12"/>
      <c r="H205" s="10">
        <v>45801.0</v>
      </c>
      <c r="I205" s="12"/>
      <c r="J205" s="10">
        <v>45304.0</v>
      </c>
      <c r="K205" s="9" t="s">
        <v>31</v>
      </c>
      <c r="L205" s="9">
        <v>93.0</v>
      </c>
      <c r="M205" s="9">
        <v>94.0</v>
      </c>
      <c r="N205" s="13">
        <f t="shared" si="34"/>
        <v>1113</v>
      </c>
      <c r="O205" s="9">
        <f t="shared" si="81"/>
        <v>1</v>
      </c>
      <c r="P205" s="9">
        <f t="shared" si="5"/>
        <v>1</v>
      </c>
      <c r="Q205" s="9">
        <f t="shared" si="83"/>
        <v>280</v>
      </c>
      <c r="R205" s="9" t="str">
        <f>if(if("m"=K205,true,countif(Cull!A:A,B:B)&gt;0),"X","")</f>
        <v>#REF!</v>
      </c>
      <c r="S205" s="28"/>
      <c r="T205" s="9"/>
      <c r="U205" s="9"/>
      <c r="V205" s="9"/>
      <c r="W205" s="9" t="s">
        <v>43</v>
      </c>
      <c r="X205" s="9"/>
      <c r="Y205" s="9" t="s">
        <v>174</v>
      </c>
      <c r="Z205" s="9" t="s">
        <v>43</v>
      </c>
      <c r="AA205" s="9" t="s">
        <v>39</v>
      </c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</row>
    <row r="206">
      <c r="A206" s="9">
        <v>205.0</v>
      </c>
      <c r="B206" s="9">
        <v>1229.0</v>
      </c>
      <c r="C206" s="13"/>
      <c r="D206" s="13">
        <f t="shared" si="74"/>
        <v>28</v>
      </c>
      <c r="E206" s="13"/>
      <c r="F206" s="18"/>
      <c r="G206" s="12"/>
      <c r="H206" s="31">
        <v>45424.0</v>
      </c>
      <c r="I206" s="12"/>
      <c r="J206" s="10">
        <v>45310.0</v>
      </c>
      <c r="K206" s="9" t="s">
        <v>49</v>
      </c>
      <c r="L206" s="9">
        <v>93.0</v>
      </c>
      <c r="M206" s="9">
        <v>10.0</v>
      </c>
      <c r="N206" s="13">
        <f t="shared" si="34"/>
        <v>1006</v>
      </c>
      <c r="O206" s="9">
        <f t="shared" si="81"/>
        <v>0</v>
      </c>
      <c r="P206" s="9">
        <f t="shared" si="5"/>
        <v>0</v>
      </c>
      <c r="Q206" s="20">
        <f t="shared" si="83"/>
        <v>46012</v>
      </c>
      <c r="R206" s="9" t="str">
        <f t="shared" ref="R206:R207" si="85">if("m"=K206,"X",if(or(countif(Cull!A:A,B:B)&gt;0,"X"= XLOOKUP(M:M,A:A,R:R)),"X",""))</f>
        <v>X</v>
      </c>
      <c r="S206" s="13"/>
      <c r="T206" s="9"/>
      <c r="U206" s="9"/>
      <c r="V206" s="9"/>
      <c r="W206" s="9"/>
      <c r="X206" s="9"/>
      <c r="Y206" s="9"/>
      <c r="Z206" s="9"/>
      <c r="AA206" s="9" t="s">
        <v>39</v>
      </c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</row>
    <row r="207">
      <c r="A207" s="9">
        <v>206.0</v>
      </c>
      <c r="B207" s="9">
        <v>1230.0</v>
      </c>
      <c r="C207" s="13"/>
      <c r="D207" s="13">
        <f t="shared" si="74"/>
        <v>29</v>
      </c>
      <c r="E207" s="13"/>
      <c r="F207" s="18"/>
      <c r="G207" s="12"/>
      <c r="H207" s="31">
        <v>45424.0</v>
      </c>
      <c r="I207" s="12"/>
      <c r="J207" s="10">
        <v>45310.0</v>
      </c>
      <c r="K207" s="9" t="s">
        <v>49</v>
      </c>
      <c r="L207" s="9">
        <v>93.0</v>
      </c>
      <c r="M207" s="9">
        <v>10.0</v>
      </c>
      <c r="N207" s="13">
        <f t="shared" si="34"/>
        <v>1006</v>
      </c>
      <c r="O207" s="9">
        <f t="shared" si="81"/>
        <v>0</v>
      </c>
      <c r="P207" s="9">
        <f t="shared" si="5"/>
        <v>0</v>
      </c>
      <c r="Q207" s="20">
        <f t="shared" si="83"/>
        <v>46012</v>
      </c>
      <c r="R207" s="9" t="str">
        <f t="shared" si="85"/>
        <v>X</v>
      </c>
      <c r="S207" s="13"/>
      <c r="T207" s="9"/>
      <c r="U207" s="9"/>
      <c r="V207" s="9"/>
      <c r="W207" s="9"/>
      <c r="X207" s="9"/>
      <c r="Y207" s="9"/>
      <c r="Z207" s="9"/>
      <c r="AA207" s="9" t="s">
        <v>39</v>
      </c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</row>
    <row r="208">
      <c r="A208" s="9">
        <v>207.0</v>
      </c>
      <c r="B208" s="9" t="s">
        <v>175</v>
      </c>
      <c r="C208" s="13"/>
      <c r="D208" s="13">
        <f t="shared" si="74"/>
        <v>30</v>
      </c>
      <c r="F208" s="18"/>
      <c r="G208" s="12"/>
      <c r="I208" s="12"/>
      <c r="J208" s="10">
        <v>45312.0</v>
      </c>
      <c r="K208" s="9" t="s">
        <v>49</v>
      </c>
      <c r="L208" s="9">
        <v>93.0</v>
      </c>
      <c r="M208" s="9" t="s">
        <v>94</v>
      </c>
      <c r="N208" s="13" t="str">
        <f t="shared" si="34"/>
        <v>#N/A</v>
      </c>
      <c r="O208" s="9">
        <f t="shared" si="81"/>
        <v>0</v>
      </c>
      <c r="P208" s="9">
        <f t="shared" si="5"/>
        <v>0</v>
      </c>
      <c r="Q208" s="20">
        <f t="shared" si="83"/>
        <v>46012</v>
      </c>
      <c r="R208" s="9" t="str">
        <f>if(if("m"=K208,true,countif(Cull!A:A,B:B)&gt;0),"X","")</f>
        <v>X</v>
      </c>
      <c r="S208" s="19" t="s">
        <v>176</v>
      </c>
      <c r="T208" s="9"/>
      <c r="U208" s="9"/>
      <c r="V208" s="9"/>
      <c r="W208" s="9"/>
      <c r="X208" s="9"/>
      <c r="Y208" s="9" t="s">
        <v>43</v>
      </c>
      <c r="Z208" s="13"/>
      <c r="AA208" s="13"/>
      <c r="AF208" s="13"/>
      <c r="AG208" s="13"/>
      <c r="AH208" s="13"/>
    </row>
    <row r="209">
      <c r="A209" s="9">
        <v>208.0</v>
      </c>
      <c r="B209" s="9">
        <v>1234.0</v>
      </c>
      <c r="C209" s="9">
        <v>1234.0</v>
      </c>
      <c r="D209" s="13">
        <f t="shared" si="74"/>
        <v>31</v>
      </c>
      <c r="E209" s="13"/>
      <c r="F209" s="18"/>
      <c r="G209" s="12"/>
      <c r="H209" s="31">
        <v>45424.0</v>
      </c>
      <c r="I209" s="12"/>
      <c r="J209" s="10">
        <v>45315.0</v>
      </c>
      <c r="K209" s="9" t="s">
        <v>49</v>
      </c>
      <c r="L209" s="9">
        <v>93.0</v>
      </c>
      <c r="M209" s="13"/>
      <c r="N209" s="13" t="str">
        <f t="shared" si="34"/>
        <v>#N/A</v>
      </c>
      <c r="O209" s="9">
        <f t="shared" si="81"/>
        <v>0</v>
      </c>
      <c r="P209" s="9">
        <f t="shared" si="5"/>
        <v>0</v>
      </c>
      <c r="Q209" s="20">
        <f t="shared" si="83"/>
        <v>46012</v>
      </c>
      <c r="R209" s="9" t="str">
        <f t="array" ref="R209">if("m"=K209,"X",if(or(countif(Cull!A:A,B:B)&gt;0,"X"= XLOOKUP(M:M,A:A,R:R)),"X",""))</f>
        <v>X</v>
      </c>
      <c r="S209" s="9" t="s">
        <v>177</v>
      </c>
      <c r="T209" s="9"/>
      <c r="U209" s="9"/>
      <c r="V209" s="9"/>
      <c r="W209" s="9"/>
      <c r="X209" s="9"/>
      <c r="Y209" s="9"/>
      <c r="Z209" s="9"/>
      <c r="AA209" s="9" t="s">
        <v>39</v>
      </c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</row>
    <row r="210">
      <c r="A210" s="9">
        <v>209.0</v>
      </c>
      <c r="B210" s="9">
        <v>1233.0</v>
      </c>
      <c r="C210" s="13"/>
      <c r="D210" s="13">
        <f t="shared" si="74"/>
        <v>32</v>
      </c>
      <c r="E210" s="13"/>
      <c r="F210" s="18"/>
      <c r="G210" s="12"/>
      <c r="H210" s="10">
        <v>45826.0</v>
      </c>
      <c r="I210" s="12"/>
      <c r="J210" s="10">
        <v>45315.0</v>
      </c>
      <c r="K210" s="9" t="s">
        <v>31</v>
      </c>
      <c r="L210" s="9">
        <v>93.0</v>
      </c>
      <c r="M210" s="9">
        <v>100.0</v>
      </c>
      <c r="N210" s="13">
        <f t="shared" si="34"/>
        <v>1114</v>
      </c>
      <c r="O210" s="9">
        <f t="shared" si="81"/>
        <v>1</v>
      </c>
      <c r="P210" s="9">
        <f t="shared" si="5"/>
        <v>1</v>
      </c>
      <c r="Q210" s="9">
        <f t="shared" si="83"/>
        <v>261</v>
      </c>
      <c r="R210" s="9" t="str">
        <f t="shared" ref="R210:R211" si="86">if(if("m"=K210,true,countif(Cull!A:A,B:B)&gt;0),"X","")</f>
        <v>#REF!</v>
      </c>
      <c r="S210" s="19" t="s">
        <v>178</v>
      </c>
      <c r="T210" s="9"/>
      <c r="U210" s="9"/>
      <c r="V210" s="9"/>
      <c r="W210" s="9"/>
      <c r="X210" s="9"/>
      <c r="Y210" s="9"/>
      <c r="Z210" s="9"/>
      <c r="AA210" s="9" t="s">
        <v>39</v>
      </c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</row>
    <row r="211">
      <c r="A211" s="9">
        <v>210.0</v>
      </c>
      <c r="B211" s="9">
        <v>1232.0</v>
      </c>
      <c r="C211" s="13"/>
      <c r="D211" s="13">
        <f t="shared" si="74"/>
        <v>33</v>
      </c>
      <c r="F211" s="18"/>
      <c r="G211" s="12"/>
      <c r="H211" s="18"/>
      <c r="I211" s="12"/>
      <c r="J211" s="10">
        <v>45315.0</v>
      </c>
      <c r="K211" s="9" t="s">
        <v>31</v>
      </c>
      <c r="L211" s="9">
        <v>93.0</v>
      </c>
      <c r="M211" s="9">
        <v>100.0</v>
      </c>
      <c r="N211" s="13">
        <f t="shared" si="34"/>
        <v>1114</v>
      </c>
      <c r="O211" s="9">
        <f t="shared" si="81"/>
        <v>1</v>
      </c>
      <c r="P211" s="9">
        <f t="shared" si="5"/>
        <v>1</v>
      </c>
      <c r="Q211" s="9">
        <f t="shared" si="83"/>
        <v>275</v>
      </c>
      <c r="R211" s="9" t="str">
        <f t="shared" si="86"/>
        <v>#REF!</v>
      </c>
      <c r="S211" s="28"/>
      <c r="T211" s="9"/>
      <c r="U211" s="9" t="s">
        <v>43</v>
      </c>
      <c r="V211" s="9"/>
      <c r="W211" s="9" t="s">
        <v>43</v>
      </c>
      <c r="X211" s="9"/>
      <c r="Y211" s="9" t="s">
        <v>43</v>
      </c>
      <c r="Z211" s="9" t="s">
        <v>43</v>
      </c>
      <c r="AA211" s="9" t="s">
        <v>39</v>
      </c>
      <c r="AF211" s="13"/>
      <c r="AG211" s="13"/>
      <c r="AH211" s="13"/>
    </row>
    <row r="212">
      <c r="A212" s="9">
        <v>211.0</v>
      </c>
      <c r="B212" s="9">
        <v>1235.0</v>
      </c>
      <c r="C212" s="13"/>
      <c r="D212" s="13">
        <f t="shared" si="74"/>
        <v>34</v>
      </c>
      <c r="E212" s="13"/>
      <c r="F212" s="18"/>
      <c r="G212" s="12"/>
      <c r="H212" s="31">
        <v>45576.0</v>
      </c>
      <c r="I212" s="12"/>
      <c r="J212" s="10">
        <v>45317.0</v>
      </c>
      <c r="K212" s="9" t="s">
        <v>49</v>
      </c>
      <c r="L212" s="9">
        <v>93.0</v>
      </c>
      <c r="M212" s="9">
        <v>92.0</v>
      </c>
      <c r="N212" s="13">
        <f t="shared" si="34"/>
        <v>1111</v>
      </c>
      <c r="O212" s="9">
        <f t="shared" si="81"/>
        <v>0</v>
      </c>
      <c r="P212" s="9">
        <f t="shared" si="5"/>
        <v>0</v>
      </c>
      <c r="Q212" s="20">
        <f t="shared" si="83"/>
        <v>46012</v>
      </c>
      <c r="R212" s="9" t="str">
        <f t="shared" ref="R212:R213" si="87">if("m"=K212,"X",if(or(countif(Cull!A:A,B:B)&gt;0,"X"= XLOOKUP(M:M,A:A,R:R)),"X",""))</f>
        <v>X</v>
      </c>
      <c r="S212" s="13"/>
      <c r="T212" s="9"/>
      <c r="U212" s="9"/>
      <c r="V212" s="9"/>
      <c r="W212" s="9"/>
      <c r="X212" s="9"/>
      <c r="Y212" s="9"/>
      <c r="Z212" s="9" t="s">
        <v>43</v>
      </c>
      <c r="AA212" s="9" t="s">
        <v>39</v>
      </c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</row>
    <row r="213">
      <c r="A213" s="9">
        <v>212.0</v>
      </c>
      <c r="B213" s="9">
        <v>1236.0</v>
      </c>
      <c r="C213" s="13"/>
      <c r="D213" s="13">
        <f t="shared" si="74"/>
        <v>35</v>
      </c>
      <c r="E213" s="13"/>
      <c r="F213" s="18"/>
      <c r="G213" s="12"/>
      <c r="H213" s="31">
        <v>45424.0</v>
      </c>
      <c r="I213" s="12"/>
      <c r="J213" s="10">
        <v>45317.0</v>
      </c>
      <c r="K213" s="9" t="s">
        <v>49</v>
      </c>
      <c r="L213" s="9">
        <v>93.0</v>
      </c>
      <c r="M213" s="9">
        <v>132.0</v>
      </c>
      <c r="N213" s="13">
        <f t="shared" si="34"/>
        <v>1177</v>
      </c>
      <c r="O213" s="9">
        <f t="shared" si="81"/>
        <v>0</v>
      </c>
      <c r="P213" s="9">
        <f t="shared" si="5"/>
        <v>0</v>
      </c>
      <c r="Q213" s="20">
        <f t="shared" si="83"/>
        <v>46012</v>
      </c>
      <c r="R213" s="9" t="str">
        <f t="shared" si="87"/>
        <v>X</v>
      </c>
      <c r="S213" s="13"/>
      <c r="T213" s="9"/>
      <c r="U213" s="9"/>
      <c r="V213" s="9"/>
      <c r="W213" s="9"/>
      <c r="X213" s="9"/>
      <c r="Y213" s="9"/>
      <c r="Z213" s="9"/>
      <c r="AA213" s="9" t="s">
        <v>39</v>
      </c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</row>
    <row r="214">
      <c r="A214" s="9">
        <v>213.0</v>
      </c>
      <c r="B214" s="9">
        <v>1237.0</v>
      </c>
      <c r="C214" s="13"/>
      <c r="D214" s="13">
        <f t="shared" si="74"/>
        <v>36</v>
      </c>
      <c r="E214" s="13"/>
      <c r="F214" s="18"/>
      <c r="G214" s="12"/>
      <c r="H214" s="10">
        <v>45826.0</v>
      </c>
      <c r="I214" s="12"/>
      <c r="J214" s="10">
        <v>45317.0</v>
      </c>
      <c r="K214" s="9" t="s">
        <v>31</v>
      </c>
      <c r="L214" s="9">
        <v>93.0</v>
      </c>
      <c r="M214" s="9">
        <v>132.0</v>
      </c>
      <c r="N214" s="13">
        <f t="shared" si="34"/>
        <v>1177</v>
      </c>
      <c r="O214" s="9">
        <f t="shared" si="81"/>
        <v>1</v>
      </c>
      <c r="P214" s="9">
        <f t="shared" si="5"/>
        <v>1</v>
      </c>
      <c r="Q214" s="9">
        <f t="shared" si="83"/>
        <v>252</v>
      </c>
      <c r="R214" s="9" t="str">
        <f t="shared" ref="R214:R221" si="88">if(if("m"=K214,true,countif(Cull!A:A,B:B)&gt;0),"X","")</f>
        <v>#REF!</v>
      </c>
      <c r="S214" s="28"/>
      <c r="T214" s="9"/>
      <c r="U214" s="9"/>
      <c r="V214" s="9"/>
      <c r="W214" s="9"/>
      <c r="X214" s="9"/>
      <c r="Y214" s="9" t="s">
        <v>43</v>
      </c>
      <c r="Z214" s="9" t="s">
        <v>43</v>
      </c>
      <c r="AA214" s="9" t="s">
        <v>39</v>
      </c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</row>
    <row r="215">
      <c r="A215" s="9">
        <v>214.0</v>
      </c>
      <c r="B215" s="9">
        <v>1238.0</v>
      </c>
      <c r="C215" s="13"/>
      <c r="D215" s="13">
        <f t="shared" si="74"/>
        <v>37</v>
      </c>
      <c r="E215" s="13"/>
      <c r="F215" s="18"/>
      <c r="G215" s="12"/>
      <c r="H215" s="10">
        <v>45826.0</v>
      </c>
      <c r="I215" s="12"/>
      <c r="J215" s="10">
        <v>45319.0</v>
      </c>
      <c r="K215" s="9" t="s">
        <v>31</v>
      </c>
      <c r="L215" s="9">
        <v>93.0</v>
      </c>
      <c r="M215" s="9">
        <v>88.0</v>
      </c>
      <c r="N215" s="13">
        <f t="shared" si="34"/>
        <v>1102</v>
      </c>
      <c r="O215" s="9">
        <f t="shared" si="81"/>
        <v>1</v>
      </c>
      <c r="P215" s="9">
        <f t="shared" si="5"/>
        <v>1</v>
      </c>
      <c r="Q215" s="9">
        <f t="shared" si="83"/>
        <v>267</v>
      </c>
      <c r="R215" s="9" t="str">
        <f t="shared" si="88"/>
        <v>#REF!</v>
      </c>
      <c r="S215" s="28"/>
      <c r="T215" s="9"/>
      <c r="U215" s="9"/>
      <c r="V215" s="9"/>
      <c r="W215" s="9" t="s">
        <v>43</v>
      </c>
      <c r="X215" s="9"/>
      <c r="Y215" s="9" t="s">
        <v>43</v>
      </c>
      <c r="Z215" s="9" t="s">
        <v>43</v>
      </c>
      <c r="AA215" s="9" t="s">
        <v>39</v>
      </c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</row>
    <row r="216">
      <c r="A216" s="9">
        <v>215.0</v>
      </c>
      <c r="B216" s="9">
        <v>1239.0</v>
      </c>
      <c r="C216" s="13"/>
      <c r="D216" s="13">
        <f t="shared" si="74"/>
        <v>38</v>
      </c>
      <c r="E216" s="13"/>
      <c r="F216" s="18"/>
      <c r="G216" s="12"/>
      <c r="H216" s="10">
        <v>45818.0</v>
      </c>
      <c r="I216" s="12"/>
      <c r="J216" s="10">
        <v>45319.0</v>
      </c>
      <c r="K216" s="9" t="s">
        <v>31</v>
      </c>
      <c r="L216" s="9">
        <v>93.0</v>
      </c>
      <c r="M216" s="9">
        <v>88.0</v>
      </c>
      <c r="N216" s="13">
        <f t="shared" si="34"/>
        <v>1102</v>
      </c>
      <c r="O216" s="9">
        <f t="shared" si="81"/>
        <v>2</v>
      </c>
      <c r="P216" s="9">
        <f t="shared" si="5"/>
        <v>2</v>
      </c>
      <c r="Q216" s="9">
        <f t="shared" si="83"/>
        <v>270</v>
      </c>
      <c r="R216" s="9" t="str">
        <f t="shared" si="88"/>
        <v>#REF!</v>
      </c>
      <c r="S216" s="19" t="s">
        <v>179</v>
      </c>
      <c r="T216" s="9"/>
      <c r="U216" s="9"/>
      <c r="V216" s="9"/>
      <c r="W216" s="9" t="s">
        <v>43</v>
      </c>
      <c r="X216" s="9"/>
      <c r="Y216" s="9" t="s">
        <v>43</v>
      </c>
      <c r="Z216" s="9" t="s">
        <v>43</v>
      </c>
      <c r="AA216" s="9" t="s">
        <v>39</v>
      </c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</row>
    <row r="217">
      <c r="A217" s="9">
        <v>216.0</v>
      </c>
      <c r="B217" s="9">
        <v>1240.0</v>
      </c>
      <c r="C217" s="13"/>
      <c r="D217" s="13">
        <f t="shared" si="74"/>
        <v>39</v>
      </c>
      <c r="E217" s="13"/>
      <c r="F217" s="18"/>
      <c r="G217" s="12"/>
      <c r="H217" s="10">
        <v>45826.0</v>
      </c>
      <c r="I217" s="12"/>
      <c r="J217" s="10">
        <v>45319.0</v>
      </c>
      <c r="K217" s="9" t="s">
        <v>31</v>
      </c>
      <c r="L217" s="9">
        <v>93.0</v>
      </c>
      <c r="M217" s="9">
        <v>133.0</v>
      </c>
      <c r="N217" s="13">
        <f t="shared" si="34"/>
        <v>1178</v>
      </c>
      <c r="O217" s="9">
        <f t="shared" si="81"/>
        <v>3</v>
      </c>
      <c r="P217" s="9">
        <f t="shared" si="5"/>
        <v>3</v>
      </c>
      <c r="Q217" s="9">
        <f t="shared" si="83"/>
        <v>264</v>
      </c>
      <c r="R217" s="9" t="str">
        <f t="shared" si="88"/>
        <v>#REF!</v>
      </c>
      <c r="S217" s="19" t="s">
        <v>180</v>
      </c>
      <c r="T217" s="9"/>
      <c r="U217" s="9"/>
      <c r="V217" s="9"/>
      <c r="W217" s="9"/>
      <c r="X217" s="9"/>
      <c r="Y217" s="9" t="s">
        <v>43</v>
      </c>
      <c r="Z217" s="9" t="s">
        <v>43</v>
      </c>
      <c r="AA217" s="9" t="s">
        <v>39</v>
      </c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</row>
    <row r="218">
      <c r="A218" s="9">
        <v>217.0</v>
      </c>
      <c r="B218" s="9">
        <v>1241.0</v>
      </c>
      <c r="C218" s="13"/>
      <c r="D218" s="13">
        <f t="shared" si="74"/>
        <v>40</v>
      </c>
      <c r="E218" s="13"/>
      <c r="F218" s="18"/>
      <c r="G218" s="12"/>
      <c r="H218" s="10">
        <v>45822.0</v>
      </c>
      <c r="I218" s="12"/>
      <c r="J218" s="10">
        <v>45319.0</v>
      </c>
      <c r="K218" s="9" t="s">
        <v>31</v>
      </c>
      <c r="L218" s="9">
        <v>93.0</v>
      </c>
      <c r="M218" s="9">
        <v>163.0</v>
      </c>
      <c r="N218" s="13">
        <f t="shared" si="34"/>
        <v>1191</v>
      </c>
      <c r="O218" s="9">
        <f t="shared" si="81"/>
        <v>1</v>
      </c>
      <c r="P218" s="9">
        <f t="shared" si="5"/>
        <v>1</v>
      </c>
      <c r="Q218" s="9">
        <f t="shared" si="83"/>
        <v>261</v>
      </c>
      <c r="R218" s="9" t="str">
        <f t="shared" si="88"/>
        <v>#REF!</v>
      </c>
      <c r="S218" s="28"/>
      <c r="T218" s="9"/>
      <c r="U218" s="9"/>
      <c r="V218" s="9"/>
      <c r="W218" s="9"/>
      <c r="X218" s="9"/>
      <c r="Y218" s="9" t="s">
        <v>43</v>
      </c>
      <c r="Z218" s="9" t="s">
        <v>43</v>
      </c>
      <c r="AA218" s="9" t="s">
        <v>39</v>
      </c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</row>
    <row r="219">
      <c r="A219" s="9">
        <v>218.0</v>
      </c>
      <c r="B219" s="9">
        <v>1242.0</v>
      </c>
      <c r="C219" s="13"/>
      <c r="D219" s="13">
        <f t="shared" si="74"/>
        <v>41</v>
      </c>
      <c r="E219" s="13"/>
      <c r="F219" s="18"/>
      <c r="G219" s="12"/>
      <c r="H219" s="10">
        <v>45801.0</v>
      </c>
      <c r="I219" s="12"/>
      <c r="J219" s="10">
        <v>45319.0</v>
      </c>
      <c r="K219" s="9" t="s">
        <v>31</v>
      </c>
      <c r="L219" s="9">
        <v>93.0</v>
      </c>
      <c r="M219" s="9">
        <v>163.0</v>
      </c>
      <c r="N219" s="13">
        <f t="shared" si="34"/>
        <v>1191</v>
      </c>
      <c r="O219" s="9">
        <f t="shared" si="81"/>
        <v>0</v>
      </c>
      <c r="P219" s="9">
        <f t="shared" si="5"/>
        <v>0</v>
      </c>
      <c r="Q219" s="20">
        <f t="shared" si="83"/>
        <v>46012</v>
      </c>
      <c r="R219" s="9" t="str">
        <f t="shared" si="88"/>
        <v>#REF!</v>
      </c>
      <c r="S219" s="28"/>
      <c r="T219" s="9"/>
      <c r="U219" s="9"/>
      <c r="V219" s="9"/>
      <c r="W219" s="9"/>
      <c r="X219" s="9"/>
      <c r="Y219" s="9" t="s">
        <v>43</v>
      </c>
      <c r="Z219" s="9" t="s">
        <v>43</v>
      </c>
      <c r="AA219" s="9" t="s">
        <v>39</v>
      </c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</row>
    <row r="220">
      <c r="A220" s="9">
        <v>219.0</v>
      </c>
      <c r="B220" s="9">
        <v>1243.0</v>
      </c>
      <c r="C220" s="13"/>
      <c r="D220" s="13">
        <f t="shared" si="74"/>
        <v>42</v>
      </c>
      <c r="F220" s="18"/>
      <c r="G220" s="12"/>
      <c r="H220" s="18"/>
      <c r="I220" s="12"/>
      <c r="J220" s="10">
        <v>45320.0</v>
      </c>
      <c r="K220" s="9" t="s">
        <v>31</v>
      </c>
      <c r="L220" s="9">
        <v>93.0</v>
      </c>
      <c r="M220" s="9">
        <v>3.0</v>
      </c>
      <c r="N220" s="13">
        <f t="shared" si="34"/>
        <v>255</v>
      </c>
      <c r="O220" s="9">
        <f t="shared" si="81"/>
        <v>2</v>
      </c>
      <c r="P220" s="9">
        <f t="shared" si="5"/>
        <v>2</v>
      </c>
      <c r="Q220" s="9">
        <f t="shared" si="83"/>
        <v>257</v>
      </c>
      <c r="R220" s="9" t="str">
        <f t="shared" si="88"/>
        <v>#REF!</v>
      </c>
      <c r="S220" s="28"/>
      <c r="T220" s="9"/>
      <c r="U220" s="9" t="s">
        <v>43</v>
      </c>
      <c r="V220" s="9"/>
      <c r="W220" s="9"/>
      <c r="X220" s="9"/>
      <c r="Y220" s="9" t="s">
        <v>43</v>
      </c>
      <c r="Z220" s="9" t="s">
        <v>43</v>
      </c>
      <c r="AA220" s="9" t="s">
        <v>39</v>
      </c>
      <c r="AF220" s="13"/>
      <c r="AG220" s="13"/>
      <c r="AH220" s="13"/>
    </row>
    <row r="221">
      <c r="A221" s="9">
        <v>220.0</v>
      </c>
      <c r="B221" s="9">
        <v>1244.0</v>
      </c>
      <c r="C221" s="13"/>
      <c r="D221" s="13">
        <f t="shared" si="74"/>
        <v>43</v>
      </c>
      <c r="F221" s="18"/>
      <c r="G221" s="12"/>
      <c r="H221" s="31"/>
      <c r="I221" s="12"/>
      <c r="J221" s="10">
        <v>45322.0</v>
      </c>
      <c r="K221" s="9" t="s">
        <v>49</v>
      </c>
      <c r="L221" s="9">
        <v>93.0</v>
      </c>
      <c r="M221" s="9">
        <v>19.0</v>
      </c>
      <c r="N221" s="13" t="str">
        <f t="shared" si="34"/>
        <v>000008</v>
      </c>
      <c r="O221" s="9">
        <f t="shared" si="81"/>
        <v>0</v>
      </c>
      <c r="P221" s="9">
        <f t="shared" si="5"/>
        <v>0</v>
      </c>
      <c r="Q221" s="20">
        <f t="shared" si="83"/>
        <v>46012</v>
      </c>
      <c r="R221" s="9" t="str">
        <f t="shared" si="88"/>
        <v>X</v>
      </c>
      <c r="S221" s="19" t="s">
        <v>181</v>
      </c>
      <c r="T221" s="9" t="s">
        <v>43</v>
      </c>
      <c r="U221" s="9"/>
      <c r="V221" s="9"/>
      <c r="W221" s="9"/>
      <c r="X221" s="9"/>
      <c r="Y221" s="9" t="s">
        <v>43</v>
      </c>
      <c r="Z221" s="13"/>
      <c r="AA221" s="13"/>
      <c r="AF221" s="13"/>
      <c r="AG221" s="13"/>
      <c r="AH221" s="13"/>
    </row>
    <row r="222">
      <c r="A222" s="9">
        <v>221.0</v>
      </c>
      <c r="B222" s="9">
        <v>1245.0</v>
      </c>
      <c r="C222" s="13"/>
      <c r="D222" s="13">
        <f t="shared" si="74"/>
        <v>44</v>
      </c>
      <c r="E222" s="13"/>
      <c r="F222" s="18"/>
      <c r="G222" s="12"/>
      <c r="H222" s="31">
        <v>45576.0</v>
      </c>
      <c r="I222" s="12"/>
      <c r="J222" s="10">
        <v>45322.0</v>
      </c>
      <c r="K222" s="9" t="s">
        <v>49</v>
      </c>
      <c r="L222" s="9">
        <v>93.0</v>
      </c>
      <c r="M222" s="9">
        <v>19.0</v>
      </c>
      <c r="N222" s="13" t="str">
        <f t="shared" si="34"/>
        <v>000008</v>
      </c>
      <c r="O222" s="9">
        <f t="shared" si="81"/>
        <v>0</v>
      </c>
      <c r="P222" s="9">
        <f t="shared" si="5"/>
        <v>0</v>
      </c>
      <c r="Q222" s="20">
        <f t="shared" si="83"/>
        <v>46012</v>
      </c>
      <c r="R222" s="9" t="str">
        <f t="shared" ref="R222:R223" si="89">if("m"=K222,"X",if(or(countif(Cull!A:A,B:B)&gt;0,"X"= XLOOKUP(M:M,A:A,R:R)),"X",""))</f>
        <v>X</v>
      </c>
      <c r="S222" s="13"/>
      <c r="T222" s="9"/>
      <c r="U222" s="9"/>
      <c r="V222" s="9"/>
      <c r="W222" s="9"/>
      <c r="X222" s="9"/>
      <c r="Y222" s="9"/>
      <c r="Z222" s="9"/>
      <c r="AA222" s="9" t="s">
        <v>39</v>
      </c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</row>
    <row r="223">
      <c r="A223" s="9">
        <v>222.0</v>
      </c>
      <c r="B223" s="9">
        <v>1246.0</v>
      </c>
      <c r="C223" s="13"/>
      <c r="D223" s="13">
        <f t="shared" si="74"/>
        <v>45</v>
      </c>
      <c r="E223" s="13"/>
      <c r="F223" s="18"/>
      <c r="G223" s="12"/>
      <c r="H223" s="31">
        <v>45424.0</v>
      </c>
      <c r="I223" s="12"/>
      <c r="J223" s="10">
        <v>45327.0</v>
      </c>
      <c r="K223" s="9" t="s">
        <v>49</v>
      </c>
      <c r="L223" s="9">
        <v>93.0</v>
      </c>
      <c r="M223" s="9">
        <v>12.0</v>
      </c>
      <c r="N223" s="13" t="str">
        <f t="shared" si="34"/>
        <v>000018</v>
      </c>
      <c r="O223" s="9">
        <f t="shared" si="81"/>
        <v>0</v>
      </c>
      <c r="P223" s="9">
        <f t="shared" si="5"/>
        <v>0</v>
      </c>
      <c r="Q223" s="20">
        <f t="shared" si="83"/>
        <v>46012</v>
      </c>
      <c r="R223" s="9" t="str">
        <f t="shared" si="89"/>
        <v>X</v>
      </c>
      <c r="S223" s="13"/>
      <c r="T223" s="9"/>
      <c r="U223" s="9"/>
      <c r="V223" s="9"/>
      <c r="W223" s="9"/>
      <c r="X223" s="9"/>
      <c r="Y223" s="9"/>
      <c r="Z223" s="9"/>
      <c r="AA223" s="9" t="s">
        <v>39</v>
      </c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</row>
    <row r="224">
      <c r="A224" s="9">
        <v>223.0</v>
      </c>
      <c r="B224" s="9">
        <v>1247.0</v>
      </c>
      <c r="C224" s="13"/>
      <c r="D224" s="13">
        <f t="shared" si="74"/>
        <v>46</v>
      </c>
      <c r="E224" s="13"/>
      <c r="F224" s="18"/>
      <c r="G224" s="12"/>
      <c r="H224" s="10">
        <v>45826.0</v>
      </c>
      <c r="I224" s="12"/>
      <c r="J224" s="10">
        <v>45328.0</v>
      </c>
      <c r="K224" s="9" t="s">
        <v>31</v>
      </c>
      <c r="L224" s="9">
        <v>93.0</v>
      </c>
      <c r="M224" s="9">
        <v>131.0</v>
      </c>
      <c r="N224" s="13">
        <f t="shared" si="34"/>
        <v>1176</v>
      </c>
      <c r="O224" s="9">
        <f t="shared" si="81"/>
        <v>0</v>
      </c>
      <c r="P224" s="9">
        <f t="shared" si="5"/>
        <v>0</v>
      </c>
      <c r="Q224" s="20">
        <f t="shared" si="83"/>
        <v>46012</v>
      </c>
      <c r="R224" s="9" t="str">
        <f>if(if("m"=K224,true,countif(Cull!A:A,B:B)&gt;0),"X","")</f>
        <v>#REF!</v>
      </c>
      <c r="S224" s="28"/>
      <c r="T224" s="9"/>
      <c r="U224" s="9"/>
      <c r="V224" s="9"/>
      <c r="W224" s="9" t="s">
        <v>43</v>
      </c>
      <c r="X224" s="9"/>
      <c r="Y224" s="9"/>
      <c r="Z224" s="9" t="s">
        <v>43</v>
      </c>
      <c r="AA224" s="9" t="s">
        <v>39</v>
      </c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</row>
    <row r="225">
      <c r="A225" s="9">
        <v>224.0</v>
      </c>
      <c r="B225" s="9">
        <v>1248.0</v>
      </c>
      <c r="C225" s="13"/>
      <c r="D225" s="13">
        <f t="shared" si="74"/>
        <v>47</v>
      </c>
      <c r="E225" s="13"/>
      <c r="F225" s="18"/>
      <c r="G225" s="12"/>
      <c r="H225" s="31">
        <v>45576.0</v>
      </c>
      <c r="I225" s="12"/>
      <c r="J225" s="10">
        <v>45338.0</v>
      </c>
      <c r="K225" s="9" t="s">
        <v>49</v>
      </c>
      <c r="L225" s="9">
        <v>93.0</v>
      </c>
      <c r="M225" s="9">
        <v>225.0</v>
      </c>
      <c r="N225" s="13">
        <f t="shared" si="34"/>
        <v>1194</v>
      </c>
      <c r="O225" s="9">
        <f t="shared" si="81"/>
        <v>0</v>
      </c>
      <c r="P225" s="9">
        <f t="shared" si="5"/>
        <v>0</v>
      </c>
      <c r="Q225" s="20">
        <f t="shared" si="83"/>
        <v>46012</v>
      </c>
      <c r="R225" s="9" t="str">
        <f t="array" ref="R225">if("m"=K225,"X",if(or(countif(Cull!A:A,B:B)&gt;0,"X"= XLOOKUP(M:M,A:A,R:R)),"X",""))</f>
        <v>X</v>
      </c>
      <c r="S225" s="13"/>
      <c r="T225" s="9"/>
      <c r="U225" s="9"/>
      <c r="V225" s="9"/>
      <c r="W225" s="9"/>
      <c r="X225" s="9"/>
      <c r="Y225" s="9"/>
      <c r="Z225" s="9"/>
      <c r="AA225" s="9" t="s">
        <v>39</v>
      </c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</row>
    <row r="226">
      <c r="A226" s="9">
        <v>225.0</v>
      </c>
      <c r="B226" s="9">
        <v>1194.0</v>
      </c>
      <c r="C226" s="13"/>
      <c r="F226" s="18"/>
      <c r="G226" s="12"/>
      <c r="H226" s="18"/>
      <c r="I226" s="12"/>
      <c r="J226" s="18"/>
      <c r="K226" s="9" t="s">
        <v>31</v>
      </c>
      <c r="N226" s="13" t="str">
        <f t="shared" si="34"/>
        <v>#N/A</v>
      </c>
      <c r="O226" s="9">
        <f t="shared" si="81"/>
        <v>2</v>
      </c>
      <c r="P226" s="9">
        <f t="shared" si="5"/>
        <v>1</v>
      </c>
      <c r="Q226" s="9">
        <f t="shared" si="83"/>
        <v>338</v>
      </c>
      <c r="R226" s="9" t="str">
        <f>if(if("m"=K226,true,countif(Cull!A:A,B:B)&gt;0),"X","")</f>
        <v>#REF!</v>
      </c>
      <c r="S226" s="19" t="s">
        <v>182</v>
      </c>
      <c r="T226" s="9"/>
      <c r="U226" s="9"/>
      <c r="V226" s="9"/>
      <c r="W226" s="9" t="s">
        <v>43</v>
      </c>
      <c r="X226" s="9"/>
      <c r="Y226" s="9"/>
      <c r="Z226" s="9" t="s">
        <v>43</v>
      </c>
      <c r="AA226" s="13"/>
      <c r="AF226" s="13"/>
      <c r="AG226" s="13"/>
      <c r="AH226" s="13"/>
    </row>
    <row r="227">
      <c r="A227" s="9">
        <v>226.0</v>
      </c>
      <c r="B227" s="13"/>
      <c r="C227" s="13"/>
      <c r="D227" s="13">
        <f>D225+1</f>
        <v>48</v>
      </c>
      <c r="E227" s="13"/>
      <c r="F227" s="18"/>
      <c r="G227" s="12"/>
      <c r="H227" s="10">
        <v>45340.0</v>
      </c>
      <c r="I227" s="12"/>
      <c r="J227" s="10">
        <v>45340.0</v>
      </c>
      <c r="K227" s="9" t="s">
        <v>31</v>
      </c>
      <c r="L227" s="9">
        <v>93.0</v>
      </c>
      <c r="M227" s="9">
        <v>137.0</v>
      </c>
      <c r="N227" s="13">
        <f t="shared" si="34"/>
        <v>1154</v>
      </c>
      <c r="O227" s="9">
        <f t="shared" si="81"/>
        <v>0</v>
      </c>
      <c r="P227" s="9">
        <f t="shared" si="5"/>
        <v>0</v>
      </c>
      <c r="Q227" s="9"/>
      <c r="R227" s="9" t="str">
        <f t="shared" ref="R227:R228" si="90">if("m"=K227,"X",if(or(countif(Cull!A:A,B:B)&gt;0,"X"= XLOOKUP(M:M,A:A,R:R)),"X",""))</f>
        <v>#REF!</v>
      </c>
      <c r="S227" s="9" t="s">
        <v>183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</row>
    <row r="228">
      <c r="A228" s="9">
        <v>227.0</v>
      </c>
      <c r="B228" s="13"/>
      <c r="C228" s="13"/>
      <c r="D228" s="13">
        <f>D227+1</f>
        <v>49</v>
      </c>
      <c r="E228" s="13"/>
      <c r="F228" s="18"/>
      <c r="G228" s="12"/>
      <c r="H228" s="10">
        <v>45340.0</v>
      </c>
      <c r="I228" s="12"/>
      <c r="J228" s="10">
        <v>45340.0</v>
      </c>
      <c r="K228" s="13"/>
      <c r="L228" s="9">
        <v>93.0</v>
      </c>
      <c r="M228" s="9">
        <v>137.0</v>
      </c>
      <c r="N228" s="13">
        <f t="shared" si="34"/>
        <v>1154</v>
      </c>
      <c r="O228" s="9">
        <f t="shared" si="81"/>
        <v>0</v>
      </c>
      <c r="P228" s="9">
        <f t="shared" si="5"/>
        <v>0</v>
      </c>
      <c r="Q228" s="9"/>
      <c r="R228" s="9" t="str">
        <f t="shared" si="90"/>
        <v>#REF!</v>
      </c>
      <c r="S228" s="9" t="s">
        <v>183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</row>
    <row r="229">
      <c r="A229" s="9">
        <v>228.0</v>
      </c>
      <c r="B229" s="9">
        <v>1256.0</v>
      </c>
      <c r="C229" s="13"/>
      <c r="D229" s="13"/>
      <c r="E229" s="13"/>
      <c r="F229" s="18"/>
      <c r="G229" s="12"/>
      <c r="H229" s="10">
        <v>45505.0</v>
      </c>
      <c r="I229" s="12"/>
      <c r="J229" s="10">
        <v>45346.0</v>
      </c>
      <c r="K229" s="9" t="s">
        <v>49</v>
      </c>
      <c r="L229" s="9">
        <v>93.0</v>
      </c>
      <c r="M229" s="9">
        <v>114.0</v>
      </c>
      <c r="N229" s="13">
        <f t="shared" si="34"/>
        <v>1125</v>
      </c>
      <c r="O229" s="9">
        <f t="shared" si="81"/>
        <v>0</v>
      </c>
      <c r="P229" s="9">
        <f t="shared" si="5"/>
        <v>0</v>
      </c>
      <c r="Q229" s="20">
        <f t="shared" ref="Q229:Q262" si="91">today()-xlookup(A229,M:M,J:J,"",0,-1)</f>
        <v>46012</v>
      </c>
      <c r="R229" s="9" t="str">
        <f t="shared" ref="R229:R231" si="92">if(if("m"=K229,true,countif(Cull!A:A,B:B)&gt;0),"X","")</f>
        <v>X</v>
      </c>
      <c r="S229" s="9" t="s">
        <v>45</v>
      </c>
      <c r="T229" s="9"/>
      <c r="U229" s="9"/>
      <c r="V229" s="9"/>
      <c r="W229" s="9"/>
      <c r="X229" s="9"/>
      <c r="Y229" s="9"/>
      <c r="Z229" s="9"/>
      <c r="AA229" s="9" t="s">
        <v>39</v>
      </c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</row>
    <row r="230">
      <c r="A230" s="9">
        <v>229.0</v>
      </c>
      <c r="B230" s="9">
        <v>1249.0</v>
      </c>
      <c r="C230" s="13"/>
      <c r="D230" s="13">
        <f>D228+1</f>
        <v>50</v>
      </c>
      <c r="E230" s="13"/>
      <c r="F230" s="18"/>
      <c r="G230" s="12"/>
      <c r="H230" s="10">
        <v>45814.0</v>
      </c>
      <c r="I230" s="12"/>
      <c r="J230" s="10">
        <v>45350.0</v>
      </c>
      <c r="K230" s="9" t="s">
        <v>31</v>
      </c>
      <c r="L230" s="9">
        <v>93.0</v>
      </c>
      <c r="M230" s="9">
        <v>230.0</v>
      </c>
      <c r="N230" s="13">
        <f t="shared" si="34"/>
        <v>1159</v>
      </c>
      <c r="O230" s="9">
        <f t="shared" si="81"/>
        <v>2</v>
      </c>
      <c r="P230" s="9">
        <f t="shared" si="5"/>
        <v>2</v>
      </c>
      <c r="Q230" s="9">
        <f t="shared" si="91"/>
        <v>261</v>
      </c>
      <c r="R230" s="9" t="str">
        <f t="shared" si="92"/>
        <v>#REF!</v>
      </c>
      <c r="S230" s="19" t="s">
        <v>184</v>
      </c>
      <c r="T230" s="9"/>
      <c r="U230" s="9"/>
      <c r="V230" s="9"/>
      <c r="W230" s="9"/>
      <c r="X230" s="9"/>
      <c r="Y230" s="9" t="s">
        <v>43</v>
      </c>
      <c r="Z230" s="9"/>
      <c r="AA230" s="9" t="s">
        <v>39</v>
      </c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</row>
    <row r="231">
      <c r="A231" s="9">
        <v>230.0</v>
      </c>
      <c r="B231" s="9">
        <v>1159.0</v>
      </c>
      <c r="C231" s="13"/>
      <c r="D231" s="13">
        <f t="shared" ref="D231:D233" si="93">D230+1</f>
        <v>51</v>
      </c>
      <c r="F231" s="18"/>
      <c r="G231" s="12"/>
      <c r="H231" s="18"/>
      <c r="I231" s="12"/>
      <c r="J231" s="9" t="s">
        <v>94</v>
      </c>
      <c r="K231" s="9" t="s">
        <v>31</v>
      </c>
      <c r="N231" s="13" t="str">
        <f t="shared" si="34"/>
        <v>#N/A</v>
      </c>
      <c r="O231" s="9">
        <f t="shared" si="81"/>
        <v>1</v>
      </c>
      <c r="P231" s="9">
        <f t="shared" si="5"/>
        <v>0</v>
      </c>
      <c r="Q231" s="9">
        <f t="shared" si="91"/>
        <v>662</v>
      </c>
      <c r="R231" s="9" t="str">
        <f t="shared" si="92"/>
        <v>#REF!</v>
      </c>
      <c r="S231" s="19" t="s">
        <v>185</v>
      </c>
      <c r="Z231" s="13"/>
      <c r="AA231" s="13"/>
      <c r="AF231" s="13"/>
      <c r="AG231" s="13"/>
      <c r="AH231" s="13"/>
    </row>
    <row r="232">
      <c r="A232" s="9">
        <v>231.0</v>
      </c>
      <c r="B232" s="9">
        <v>1250.0</v>
      </c>
      <c r="C232" s="13"/>
      <c r="D232" s="13">
        <f t="shared" si="93"/>
        <v>52</v>
      </c>
      <c r="E232" s="13"/>
      <c r="F232" s="18"/>
      <c r="G232" s="12"/>
      <c r="H232" s="31">
        <v>45576.0</v>
      </c>
      <c r="I232" s="12"/>
      <c r="J232" s="10">
        <v>45353.0</v>
      </c>
      <c r="K232" s="9" t="s">
        <v>49</v>
      </c>
      <c r="L232" s="9">
        <v>93.0</v>
      </c>
      <c r="M232" s="9">
        <v>149.0</v>
      </c>
      <c r="N232" s="13">
        <f t="shared" si="34"/>
        <v>1163</v>
      </c>
      <c r="O232" s="9">
        <f t="shared" si="81"/>
        <v>0</v>
      </c>
      <c r="P232" s="9">
        <f t="shared" si="5"/>
        <v>0</v>
      </c>
      <c r="Q232" s="20">
        <f t="shared" si="91"/>
        <v>46012</v>
      </c>
      <c r="R232" s="9" t="str">
        <f t="shared" ref="R232:R233" si="94">if("m"=K232,"X",if(or(countif(Cull!A:A,B:B)&gt;0,"X"= XLOOKUP(M:M,A:A,R:R)),"X",""))</f>
        <v>X</v>
      </c>
      <c r="S232" s="13"/>
      <c r="T232" s="9"/>
      <c r="U232" s="9"/>
      <c r="V232" s="9"/>
      <c r="W232" s="9"/>
      <c r="X232" s="9"/>
      <c r="Y232" s="9"/>
      <c r="Z232" s="9"/>
      <c r="AA232" s="9" t="s">
        <v>39</v>
      </c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</row>
    <row r="233">
      <c r="A233" s="9">
        <v>232.0</v>
      </c>
      <c r="B233" s="9">
        <v>1251.0</v>
      </c>
      <c r="C233" s="13"/>
      <c r="D233" s="13">
        <f t="shared" si="93"/>
        <v>53</v>
      </c>
      <c r="E233" s="13"/>
      <c r="F233" s="18"/>
      <c r="G233" s="12"/>
      <c r="H233" s="31">
        <v>45576.0</v>
      </c>
      <c r="I233" s="12"/>
      <c r="J233" s="10">
        <v>45352.0</v>
      </c>
      <c r="K233" s="9" t="s">
        <v>49</v>
      </c>
      <c r="L233" s="9">
        <v>93.0</v>
      </c>
      <c r="M233" s="9">
        <v>233.0</v>
      </c>
      <c r="N233" s="13">
        <f t="shared" si="34"/>
        <v>1138</v>
      </c>
      <c r="O233" s="9">
        <f t="shared" si="81"/>
        <v>0</v>
      </c>
      <c r="P233" s="9">
        <f t="shared" si="5"/>
        <v>0</v>
      </c>
      <c r="Q233" s="20">
        <f t="shared" si="91"/>
        <v>46012</v>
      </c>
      <c r="R233" s="9" t="str">
        <f t="shared" si="94"/>
        <v>X</v>
      </c>
      <c r="S233" s="13"/>
      <c r="T233" s="9"/>
      <c r="U233" s="9"/>
      <c r="V233" s="9"/>
      <c r="W233" s="9"/>
      <c r="X233" s="9"/>
      <c r="Y233" s="9"/>
      <c r="Z233" s="9"/>
      <c r="AA233" s="9" t="s">
        <v>39</v>
      </c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</row>
    <row r="234">
      <c r="A234" s="9">
        <v>233.0</v>
      </c>
      <c r="B234" s="9">
        <v>1138.0</v>
      </c>
      <c r="C234" s="13"/>
      <c r="F234" s="18"/>
      <c r="G234" s="12"/>
      <c r="H234" s="18"/>
      <c r="I234" s="12"/>
      <c r="J234" s="9" t="s">
        <v>94</v>
      </c>
      <c r="K234" s="9" t="s">
        <v>31</v>
      </c>
      <c r="N234" s="13" t="str">
        <f t="shared" si="34"/>
        <v>#N/A</v>
      </c>
      <c r="O234" s="9">
        <f t="shared" si="81"/>
        <v>5</v>
      </c>
      <c r="P234" s="9">
        <f t="shared" si="5"/>
        <v>2</v>
      </c>
      <c r="Q234" s="9">
        <f t="shared" si="91"/>
        <v>317</v>
      </c>
      <c r="R234" s="9" t="str">
        <f t="shared" ref="R234:R237" si="95">if(if("m"=K234,true,countif(Cull!A:A,B:B)&gt;0),"X","")</f>
        <v>#REF!</v>
      </c>
      <c r="S234" s="19" t="s">
        <v>186</v>
      </c>
      <c r="T234" s="9" t="s">
        <v>43</v>
      </c>
      <c r="U234" s="9"/>
      <c r="V234" s="9"/>
      <c r="W234" s="9" t="s">
        <v>43</v>
      </c>
      <c r="X234" s="9"/>
      <c r="Y234" s="9"/>
      <c r="Z234" s="9" t="s">
        <v>43</v>
      </c>
      <c r="AA234" s="9" t="s">
        <v>39</v>
      </c>
      <c r="AF234" s="13"/>
      <c r="AG234" s="13"/>
      <c r="AH234" s="13"/>
    </row>
    <row r="235">
      <c r="A235" s="9">
        <v>234.0</v>
      </c>
      <c r="B235" s="9">
        <v>1252.0</v>
      </c>
      <c r="C235" s="13"/>
      <c r="D235" s="13"/>
      <c r="E235" s="13"/>
      <c r="F235" s="18"/>
      <c r="G235" s="12"/>
      <c r="H235" s="10">
        <v>45826.0</v>
      </c>
      <c r="I235" s="12"/>
      <c r="J235" s="10">
        <v>45361.0</v>
      </c>
      <c r="K235" s="9" t="s">
        <v>31</v>
      </c>
      <c r="L235" s="9">
        <v>93.0</v>
      </c>
      <c r="M235" s="9">
        <v>90.0</v>
      </c>
      <c r="N235" s="13">
        <f t="shared" si="34"/>
        <v>1100</v>
      </c>
      <c r="O235" s="9">
        <f t="shared" si="81"/>
        <v>2</v>
      </c>
      <c r="P235" s="9">
        <f t="shared" si="5"/>
        <v>2</v>
      </c>
      <c r="Q235" s="9">
        <f t="shared" si="91"/>
        <v>265</v>
      </c>
      <c r="R235" s="9" t="str">
        <f t="shared" si="95"/>
        <v>#REF!</v>
      </c>
      <c r="S235" s="19" t="s">
        <v>187</v>
      </c>
      <c r="T235" s="9"/>
      <c r="U235" s="9"/>
      <c r="V235" s="9"/>
      <c r="W235" s="9"/>
      <c r="X235" s="9"/>
      <c r="Y235" s="9" t="s">
        <v>43</v>
      </c>
      <c r="Z235" s="9" t="s">
        <v>43</v>
      </c>
      <c r="AA235" s="9" t="s">
        <v>39</v>
      </c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</row>
    <row r="236">
      <c r="A236" s="9">
        <v>235.0</v>
      </c>
      <c r="B236" s="9">
        <v>1253.0</v>
      </c>
      <c r="C236" s="13"/>
      <c r="D236" s="13"/>
      <c r="E236" s="13"/>
      <c r="F236" s="18"/>
      <c r="G236" s="12"/>
      <c r="H236" s="10">
        <v>45801.0</v>
      </c>
      <c r="I236" s="12"/>
      <c r="J236" s="10">
        <v>45362.0</v>
      </c>
      <c r="K236" s="9" t="s">
        <v>31</v>
      </c>
      <c r="L236" s="9">
        <v>93.0</v>
      </c>
      <c r="M236" s="9">
        <v>158.0</v>
      </c>
      <c r="N236" s="13">
        <f t="shared" si="34"/>
        <v>1198</v>
      </c>
      <c r="O236" s="9">
        <f t="shared" si="81"/>
        <v>0</v>
      </c>
      <c r="P236" s="9">
        <f t="shared" si="5"/>
        <v>0</v>
      </c>
      <c r="Q236" s="20">
        <f t="shared" si="91"/>
        <v>46012</v>
      </c>
      <c r="R236" s="9" t="str">
        <f t="shared" si="95"/>
        <v>#REF!</v>
      </c>
      <c r="S236" s="19" t="s">
        <v>188</v>
      </c>
      <c r="T236" s="9"/>
      <c r="U236" s="9"/>
      <c r="V236" s="9"/>
      <c r="W236" s="9"/>
      <c r="X236" s="9"/>
      <c r="Y236" s="9" t="s">
        <v>43</v>
      </c>
      <c r="Z236" s="9" t="s">
        <v>43</v>
      </c>
      <c r="AA236" s="9" t="s">
        <v>39</v>
      </c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</row>
    <row r="237">
      <c r="A237" s="9">
        <v>236.0</v>
      </c>
      <c r="B237" s="9">
        <v>1254.0</v>
      </c>
      <c r="C237" s="13"/>
      <c r="D237" s="13"/>
      <c r="E237" s="13"/>
      <c r="F237" s="18"/>
      <c r="G237" s="12"/>
      <c r="H237" s="10">
        <v>45505.0</v>
      </c>
      <c r="I237" s="12"/>
      <c r="J237" s="14">
        <v>45377.0</v>
      </c>
      <c r="K237" s="9" t="s">
        <v>49</v>
      </c>
      <c r="L237" s="9">
        <v>93.0</v>
      </c>
      <c r="M237" s="9">
        <v>145.0</v>
      </c>
      <c r="N237" s="13">
        <f t="shared" si="34"/>
        <v>1161</v>
      </c>
      <c r="O237" s="9">
        <f t="shared" si="81"/>
        <v>0</v>
      </c>
      <c r="P237" s="9">
        <f t="shared" si="5"/>
        <v>0</v>
      </c>
      <c r="Q237" s="20">
        <f t="shared" si="91"/>
        <v>46012</v>
      </c>
      <c r="R237" s="9" t="str">
        <f t="shared" si="95"/>
        <v>X</v>
      </c>
      <c r="S237" s="13"/>
      <c r="T237" s="9"/>
      <c r="U237" s="9"/>
      <c r="V237" s="9"/>
      <c r="W237" s="9"/>
      <c r="X237" s="9"/>
      <c r="Y237" s="9"/>
      <c r="Z237" s="9"/>
      <c r="AA237" s="9" t="s">
        <v>39</v>
      </c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</row>
    <row r="238">
      <c r="A238" s="9">
        <v>237.0</v>
      </c>
      <c r="B238" s="9">
        <v>1255.0</v>
      </c>
      <c r="C238" s="13"/>
      <c r="D238" s="13"/>
      <c r="E238" s="13"/>
      <c r="F238" s="18"/>
      <c r="G238" s="12"/>
      <c r="H238" s="31">
        <v>45576.0</v>
      </c>
      <c r="I238" s="12"/>
      <c r="J238" s="10">
        <v>45371.0</v>
      </c>
      <c r="K238" s="9" t="s">
        <v>49</v>
      </c>
      <c r="L238" s="9">
        <v>93.0</v>
      </c>
      <c r="M238" s="9">
        <v>142.0</v>
      </c>
      <c r="N238" s="13">
        <f t="shared" si="34"/>
        <v>1148</v>
      </c>
      <c r="O238" s="9">
        <f t="shared" si="81"/>
        <v>0</v>
      </c>
      <c r="P238" s="9">
        <f t="shared" si="5"/>
        <v>0</v>
      </c>
      <c r="Q238" s="20">
        <f t="shared" si="91"/>
        <v>46012</v>
      </c>
      <c r="R238" s="9" t="str">
        <f t="shared" ref="R238:R239" si="96">if("m"=K238,"X",if(or(countif(Cull!A:A,B:B)&gt;0,"X"= XLOOKUP(M:M,A:A,R:R)),"X",""))</f>
        <v>X</v>
      </c>
      <c r="S238" s="13"/>
      <c r="T238" s="9"/>
      <c r="U238" s="9"/>
      <c r="V238" s="9"/>
      <c r="W238" s="9"/>
      <c r="X238" s="9"/>
      <c r="Y238" s="9"/>
      <c r="Z238" s="9" t="s">
        <v>43</v>
      </c>
      <c r="AA238" s="9" t="s">
        <v>39</v>
      </c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</row>
    <row r="239">
      <c r="A239" s="9">
        <v>238.0</v>
      </c>
      <c r="B239" s="9">
        <v>1257.0</v>
      </c>
      <c r="C239" s="13"/>
      <c r="D239" s="13"/>
      <c r="E239" s="13"/>
      <c r="F239" s="18"/>
      <c r="G239" s="12"/>
      <c r="H239" s="31">
        <v>45576.0</v>
      </c>
      <c r="I239" s="12"/>
      <c r="J239" s="10">
        <v>45385.0</v>
      </c>
      <c r="K239" s="9" t="s">
        <v>49</v>
      </c>
      <c r="L239" s="9">
        <v>93.0</v>
      </c>
      <c r="M239" s="9">
        <v>139.0</v>
      </c>
      <c r="N239" s="13">
        <f t="shared" si="34"/>
        <v>1151</v>
      </c>
      <c r="O239" s="9">
        <f t="shared" si="81"/>
        <v>1</v>
      </c>
      <c r="P239" s="9">
        <f t="shared" si="5"/>
        <v>1</v>
      </c>
      <c r="Q239" s="9">
        <f t="shared" si="91"/>
        <v>299</v>
      </c>
      <c r="R239" s="9" t="str">
        <f t="shared" si="96"/>
        <v>X</v>
      </c>
      <c r="S239" s="9" t="s">
        <v>188</v>
      </c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</row>
    <row r="240">
      <c r="A240" s="9">
        <v>239.0</v>
      </c>
      <c r="B240" s="9">
        <v>1258.0</v>
      </c>
      <c r="C240" s="13"/>
      <c r="D240" s="13"/>
      <c r="E240" s="13"/>
      <c r="F240" s="18"/>
      <c r="G240" s="12"/>
      <c r="H240" s="10">
        <v>45801.0</v>
      </c>
      <c r="I240" s="12"/>
      <c r="J240" s="10">
        <v>45387.0</v>
      </c>
      <c r="K240" s="9" t="s">
        <v>31</v>
      </c>
      <c r="L240" s="13"/>
      <c r="M240" s="9">
        <v>140.0</v>
      </c>
      <c r="N240" s="13">
        <f t="shared" si="34"/>
        <v>1150</v>
      </c>
      <c r="O240" s="9">
        <f t="shared" si="81"/>
        <v>0</v>
      </c>
      <c r="P240" s="9">
        <f t="shared" si="5"/>
        <v>0</v>
      </c>
      <c r="Q240" s="20">
        <f t="shared" si="91"/>
        <v>46012</v>
      </c>
      <c r="R240" s="9" t="str">
        <f t="shared" ref="R240:R243" si="97">if(if("m"=K240,true,countif(Cull!A:A,B:B)&gt;0),"X","")</f>
        <v>#REF!</v>
      </c>
      <c r="S240" s="19" t="s">
        <v>188</v>
      </c>
      <c r="T240" s="9"/>
      <c r="U240" s="9"/>
      <c r="V240" s="9"/>
      <c r="W240" s="9"/>
      <c r="X240" s="9"/>
      <c r="Y240" s="9" t="s">
        <v>43</v>
      </c>
      <c r="Z240" s="9" t="s">
        <v>43</v>
      </c>
      <c r="AA240" s="9" t="s">
        <v>39</v>
      </c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</row>
    <row r="241">
      <c r="A241" s="9">
        <v>240.0</v>
      </c>
      <c r="B241" s="9">
        <v>1269.0</v>
      </c>
      <c r="C241" s="13"/>
      <c r="F241" s="18"/>
      <c r="G241" s="12"/>
      <c r="H241" s="18"/>
      <c r="I241" s="12"/>
      <c r="J241" s="10">
        <v>45394.0</v>
      </c>
      <c r="K241" s="9" t="s">
        <v>49</v>
      </c>
      <c r="M241" s="9">
        <v>138.0</v>
      </c>
      <c r="N241" s="13">
        <f t="shared" si="34"/>
        <v>1155</v>
      </c>
      <c r="O241" s="9">
        <f t="shared" si="81"/>
        <v>0</v>
      </c>
      <c r="P241" s="9">
        <f t="shared" si="5"/>
        <v>0</v>
      </c>
      <c r="Q241" s="20">
        <f t="shared" si="91"/>
        <v>46012</v>
      </c>
      <c r="R241" s="9" t="str">
        <f t="shared" si="97"/>
        <v>X</v>
      </c>
      <c r="S241" s="19" t="s">
        <v>189</v>
      </c>
      <c r="T241" s="9"/>
      <c r="U241" s="9"/>
      <c r="V241" s="9"/>
      <c r="W241" s="9"/>
      <c r="X241" s="9"/>
      <c r="Y241" s="9" t="s">
        <v>43</v>
      </c>
      <c r="Z241" s="13"/>
      <c r="AA241" s="13"/>
      <c r="AB241" s="9" t="s">
        <v>190</v>
      </c>
      <c r="AC241" s="9" t="s">
        <v>191</v>
      </c>
      <c r="AD241" s="9" t="s">
        <v>192</v>
      </c>
      <c r="AF241" s="13"/>
      <c r="AG241" s="13"/>
      <c r="AH241" s="13"/>
    </row>
    <row r="242">
      <c r="A242" s="9">
        <v>241.0</v>
      </c>
      <c r="B242" s="9">
        <v>1270.0</v>
      </c>
      <c r="C242" s="13"/>
      <c r="D242" s="13"/>
      <c r="E242" s="13"/>
      <c r="F242" s="18"/>
      <c r="G242" s="12"/>
      <c r="H242" s="10">
        <v>45826.0</v>
      </c>
      <c r="I242" s="12"/>
      <c r="J242" s="10">
        <v>45394.0</v>
      </c>
      <c r="K242" s="9" t="s">
        <v>31</v>
      </c>
      <c r="L242" s="13"/>
      <c r="M242" s="9">
        <v>138.0</v>
      </c>
      <c r="N242" s="13">
        <f t="shared" si="34"/>
        <v>1155</v>
      </c>
      <c r="O242" s="9">
        <f t="shared" si="81"/>
        <v>0</v>
      </c>
      <c r="P242" s="9">
        <f t="shared" si="5"/>
        <v>0</v>
      </c>
      <c r="Q242" s="20">
        <f t="shared" si="91"/>
        <v>46012</v>
      </c>
      <c r="R242" s="9" t="str">
        <f t="shared" si="97"/>
        <v>#REF!</v>
      </c>
      <c r="S242" s="19" t="s">
        <v>193</v>
      </c>
      <c r="T242" s="9"/>
      <c r="U242" s="9"/>
      <c r="V242" s="9"/>
      <c r="W242" s="9"/>
      <c r="X242" s="9"/>
      <c r="Y242" s="9" t="s">
        <v>43</v>
      </c>
      <c r="Z242" s="13"/>
      <c r="AA242" s="13"/>
      <c r="AB242" s="9" t="s">
        <v>190</v>
      </c>
      <c r="AC242" s="9" t="s">
        <v>191</v>
      </c>
      <c r="AD242" s="9" t="s">
        <v>192</v>
      </c>
      <c r="AE242" s="13"/>
      <c r="AF242" s="13"/>
      <c r="AG242" s="13"/>
      <c r="AH242" s="13"/>
      <c r="AI242" s="13"/>
      <c r="AJ242" s="13"/>
      <c r="AK242" s="13"/>
      <c r="AL242" s="13"/>
    </row>
    <row r="243">
      <c r="A243" s="9">
        <v>242.0</v>
      </c>
      <c r="B243" s="9">
        <v>1261.0</v>
      </c>
      <c r="C243" s="13"/>
      <c r="F243" s="18"/>
      <c r="G243" s="12"/>
      <c r="H243" s="18"/>
      <c r="I243" s="12"/>
      <c r="J243" s="9">
        <v>2023.0</v>
      </c>
      <c r="K243" s="9" t="s">
        <v>31</v>
      </c>
      <c r="N243" s="13" t="str">
        <f t="shared" si="34"/>
        <v>#N/A</v>
      </c>
      <c r="O243" s="9">
        <f t="shared" si="81"/>
        <v>2</v>
      </c>
      <c r="P243" s="9">
        <f t="shared" si="5"/>
        <v>2</v>
      </c>
      <c r="Q243" s="9">
        <f t="shared" si="91"/>
        <v>338</v>
      </c>
      <c r="R243" s="9" t="str">
        <f t="shared" si="97"/>
        <v>#REF!</v>
      </c>
      <c r="S243" s="19" t="s">
        <v>185</v>
      </c>
      <c r="T243" s="9" t="s">
        <v>43</v>
      </c>
      <c r="U243" s="9"/>
      <c r="V243" s="9"/>
      <c r="W243" s="9" t="s">
        <v>43</v>
      </c>
      <c r="X243" s="9"/>
      <c r="Y243" s="9"/>
      <c r="Z243" s="9" t="s">
        <v>43</v>
      </c>
      <c r="AA243" s="9" t="s">
        <v>46</v>
      </c>
      <c r="AF243" s="13"/>
      <c r="AG243" s="13"/>
      <c r="AH243" s="13"/>
    </row>
    <row r="244">
      <c r="A244" s="9">
        <v>243.0</v>
      </c>
      <c r="B244" s="9">
        <v>1262.0</v>
      </c>
      <c r="C244" s="13"/>
      <c r="D244" s="13"/>
      <c r="E244" s="13"/>
      <c r="F244" s="18"/>
      <c r="G244" s="12"/>
      <c r="H244" s="10">
        <v>45450.0</v>
      </c>
      <c r="I244" s="12"/>
      <c r="J244" s="9">
        <v>2023.0</v>
      </c>
      <c r="K244" s="9" t="s">
        <v>31</v>
      </c>
      <c r="L244" s="13"/>
      <c r="M244" s="13"/>
      <c r="N244" s="13" t="str">
        <f t="shared" si="34"/>
        <v>#N/A</v>
      </c>
      <c r="O244" s="13"/>
      <c r="P244" s="9">
        <f t="shared" si="5"/>
        <v>0</v>
      </c>
      <c r="Q244" s="20">
        <f t="shared" si="91"/>
        <v>46012</v>
      </c>
      <c r="R244" s="9" t="str">
        <f t="array" ref="R244">if("m"=K244,"X",if(or(countif(Cull!A:A,B:B)&gt;0,"X"= XLOOKUP(M:M,A:A,R:R)),"X",""))</f>
        <v>#REF!</v>
      </c>
      <c r="S244" s="9" t="s">
        <v>194</v>
      </c>
      <c r="T244" s="9"/>
      <c r="U244" s="9"/>
      <c r="V244" s="9"/>
      <c r="W244" s="9"/>
      <c r="X244" s="9"/>
      <c r="Y244" s="9"/>
      <c r="Z244" s="9"/>
      <c r="AA244" s="9" t="s">
        <v>46</v>
      </c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</row>
    <row r="245">
      <c r="A245" s="9">
        <v>244.0</v>
      </c>
      <c r="B245" s="9">
        <v>1172.0</v>
      </c>
      <c r="C245" s="13"/>
      <c r="D245" s="13"/>
      <c r="E245" s="13"/>
      <c r="F245" s="18"/>
      <c r="G245" s="12"/>
      <c r="H245" s="10">
        <v>45801.0</v>
      </c>
      <c r="I245" s="12"/>
      <c r="J245" s="9">
        <v>2023.0</v>
      </c>
      <c r="K245" s="9" t="s">
        <v>31</v>
      </c>
      <c r="L245" s="13"/>
      <c r="M245" s="13"/>
      <c r="N245" s="13" t="str">
        <f t="shared" si="34"/>
        <v>#N/A</v>
      </c>
      <c r="O245" s="9">
        <f t="shared" ref="O245:O262" si="98">countif(M:M,A245)</f>
        <v>0</v>
      </c>
      <c r="P245" s="9">
        <f t="shared" si="5"/>
        <v>0</v>
      </c>
      <c r="Q245" s="20">
        <f t="shared" si="91"/>
        <v>46012</v>
      </c>
      <c r="R245" s="9" t="str">
        <f t="shared" ref="R245:R262" si="99">if(if("m"=K245,true,countif(Cull!A:A,B:B)&gt;0),"X","")</f>
        <v>#REF!</v>
      </c>
      <c r="S245" s="28"/>
      <c r="T245" s="9"/>
      <c r="U245" s="9"/>
      <c r="V245" s="9"/>
      <c r="W245" s="9"/>
      <c r="X245" s="9"/>
      <c r="Y245" s="9" t="s">
        <v>43</v>
      </c>
      <c r="Z245" s="9" t="s">
        <v>43</v>
      </c>
      <c r="AA245" s="9" t="s">
        <v>46</v>
      </c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</row>
    <row r="246">
      <c r="A246" s="9">
        <v>245.0</v>
      </c>
      <c r="B246" s="9">
        <v>1173.0</v>
      </c>
      <c r="C246" s="13"/>
      <c r="F246" s="18"/>
      <c r="G246" s="12"/>
      <c r="H246" s="18"/>
      <c r="I246" s="12"/>
      <c r="J246" s="9">
        <v>2023.0</v>
      </c>
      <c r="K246" s="9" t="s">
        <v>31</v>
      </c>
      <c r="N246" s="13" t="str">
        <f t="shared" si="34"/>
        <v>#N/A</v>
      </c>
      <c r="O246" s="9">
        <f t="shared" si="98"/>
        <v>1</v>
      </c>
      <c r="P246" s="9">
        <f t="shared" si="5"/>
        <v>1</v>
      </c>
      <c r="Q246" s="9">
        <f t="shared" si="91"/>
        <v>317</v>
      </c>
      <c r="R246" s="9" t="str">
        <f t="shared" si="99"/>
        <v>#REF!</v>
      </c>
      <c r="S246" s="19" t="s">
        <v>185</v>
      </c>
      <c r="T246" s="9" t="s">
        <v>43</v>
      </c>
      <c r="U246" s="9"/>
      <c r="V246" s="9"/>
      <c r="W246" s="9" t="s">
        <v>43</v>
      </c>
      <c r="X246" s="9"/>
      <c r="Y246" s="9"/>
      <c r="Z246" s="9" t="s">
        <v>43</v>
      </c>
      <c r="AA246" s="9" t="s">
        <v>46</v>
      </c>
      <c r="AF246" s="13"/>
      <c r="AG246" s="13"/>
      <c r="AH246" s="13"/>
    </row>
    <row r="247">
      <c r="A247" s="9">
        <v>246.0</v>
      </c>
      <c r="B247" s="9">
        <v>1174.0</v>
      </c>
      <c r="C247" s="13"/>
      <c r="F247" s="18"/>
      <c r="G247" s="12"/>
      <c r="H247" s="18"/>
      <c r="I247" s="12"/>
      <c r="J247" s="9">
        <v>2023.0</v>
      </c>
      <c r="K247" s="9" t="s">
        <v>31</v>
      </c>
      <c r="N247" s="13" t="str">
        <f t="shared" si="34"/>
        <v>#N/A</v>
      </c>
      <c r="O247" s="9">
        <f t="shared" si="98"/>
        <v>1</v>
      </c>
      <c r="P247" s="9">
        <f t="shared" si="5"/>
        <v>1</v>
      </c>
      <c r="Q247" s="9">
        <f t="shared" si="91"/>
        <v>318</v>
      </c>
      <c r="R247" s="9" t="str">
        <f t="shared" si="99"/>
        <v>#REF!</v>
      </c>
      <c r="S247" s="19" t="s">
        <v>185</v>
      </c>
      <c r="T247" s="9" t="s">
        <v>43</v>
      </c>
      <c r="U247" s="9"/>
      <c r="V247" s="9"/>
      <c r="W247" s="9" t="s">
        <v>43</v>
      </c>
      <c r="X247" s="9"/>
      <c r="Y247" s="9"/>
      <c r="Z247" s="9" t="s">
        <v>43</v>
      </c>
      <c r="AA247" s="9" t="s">
        <v>46</v>
      </c>
      <c r="AF247" s="13"/>
      <c r="AG247" s="13"/>
      <c r="AH247" s="13"/>
    </row>
    <row r="248">
      <c r="A248" s="9">
        <v>247.0</v>
      </c>
      <c r="B248" s="9">
        <v>1175.0</v>
      </c>
      <c r="C248" s="13"/>
      <c r="F248" s="18"/>
      <c r="G248" s="12"/>
      <c r="H248" s="18"/>
      <c r="I248" s="12"/>
      <c r="J248" s="9">
        <v>2023.0</v>
      </c>
      <c r="K248" s="9" t="s">
        <v>31</v>
      </c>
      <c r="N248" s="13" t="str">
        <f t="shared" si="34"/>
        <v>#N/A</v>
      </c>
      <c r="O248" s="9">
        <f t="shared" si="98"/>
        <v>1</v>
      </c>
      <c r="P248" s="9">
        <f t="shared" si="5"/>
        <v>1</v>
      </c>
      <c r="Q248" s="9">
        <f t="shared" si="91"/>
        <v>327</v>
      </c>
      <c r="R248" s="9" t="str">
        <f t="shared" si="99"/>
        <v>#REF!</v>
      </c>
      <c r="S248" s="19" t="s">
        <v>185</v>
      </c>
      <c r="T248" s="9" t="s">
        <v>43</v>
      </c>
      <c r="U248" s="9"/>
      <c r="V248" s="9"/>
      <c r="W248" s="9" t="s">
        <v>43</v>
      </c>
      <c r="X248" s="9"/>
      <c r="Y248" s="9"/>
      <c r="Z248" s="9" t="s">
        <v>43</v>
      </c>
      <c r="AA248" s="9" t="s">
        <v>46</v>
      </c>
      <c r="AF248" s="13"/>
      <c r="AG248" s="13"/>
      <c r="AH248" s="13"/>
    </row>
    <row r="249">
      <c r="A249" s="9">
        <v>248.0</v>
      </c>
      <c r="B249" s="9">
        <v>1264.0</v>
      </c>
      <c r="C249" s="13"/>
      <c r="D249" s="13"/>
      <c r="E249" s="13"/>
      <c r="F249" s="18"/>
      <c r="G249" s="12"/>
      <c r="H249" s="10">
        <v>45801.0</v>
      </c>
      <c r="I249" s="12"/>
      <c r="J249" s="9">
        <v>2023.0</v>
      </c>
      <c r="K249" s="9" t="s">
        <v>31</v>
      </c>
      <c r="L249" s="13"/>
      <c r="M249" s="13"/>
      <c r="N249" s="13" t="str">
        <f t="shared" si="34"/>
        <v>#N/A</v>
      </c>
      <c r="O249" s="9">
        <f t="shared" si="98"/>
        <v>1</v>
      </c>
      <c r="P249" s="9">
        <f t="shared" si="5"/>
        <v>1</v>
      </c>
      <c r="Q249" s="9">
        <f t="shared" si="91"/>
        <v>304</v>
      </c>
      <c r="R249" s="9" t="str">
        <f t="shared" si="99"/>
        <v>#REF!</v>
      </c>
      <c r="S249" s="19" t="s">
        <v>185</v>
      </c>
      <c r="T249" s="9"/>
      <c r="U249" s="9"/>
      <c r="V249" s="9"/>
      <c r="W249" s="9" t="s">
        <v>43</v>
      </c>
      <c r="X249" s="9"/>
      <c r="Y249" s="9"/>
      <c r="Z249" s="9" t="s">
        <v>43</v>
      </c>
      <c r="AA249" s="9" t="s">
        <v>46</v>
      </c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</row>
    <row r="250">
      <c r="A250" s="9">
        <v>249.0</v>
      </c>
      <c r="B250" s="9">
        <v>1263.0</v>
      </c>
      <c r="C250" s="13"/>
      <c r="F250" s="18"/>
      <c r="G250" s="12"/>
      <c r="H250" s="18"/>
      <c r="I250" s="12"/>
      <c r="J250" s="9">
        <v>2023.0</v>
      </c>
      <c r="K250" s="9" t="s">
        <v>31</v>
      </c>
      <c r="N250" s="13" t="str">
        <f t="shared" si="34"/>
        <v>#N/A</v>
      </c>
      <c r="O250" s="9">
        <f t="shared" si="98"/>
        <v>1</v>
      </c>
      <c r="P250" s="9">
        <f t="shared" si="5"/>
        <v>1</v>
      </c>
      <c r="Q250" s="9">
        <f t="shared" si="91"/>
        <v>321</v>
      </c>
      <c r="R250" s="9" t="str">
        <f t="shared" si="99"/>
        <v>#REF!</v>
      </c>
      <c r="S250" s="19" t="s">
        <v>185</v>
      </c>
      <c r="T250" s="9" t="s">
        <v>43</v>
      </c>
      <c r="U250" s="9"/>
      <c r="V250" s="9"/>
      <c r="W250" s="9" t="s">
        <v>43</v>
      </c>
      <c r="X250" s="9"/>
      <c r="Y250" s="9"/>
      <c r="Z250" s="9" t="s">
        <v>43</v>
      </c>
      <c r="AA250" s="9" t="s">
        <v>46</v>
      </c>
      <c r="AF250" s="13"/>
      <c r="AG250" s="13"/>
      <c r="AH250" s="13"/>
    </row>
    <row r="251">
      <c r="A251" s="32">
        <v>250.0</v>
      </c>
      <c r="B251" s="32">
        <v>1265.0</v>
      </c>
      <c r="C251" s="33"/>
      <c r="D251" s="33"/>
      <c r="E251" s="33"/>
      <c r="F251" s="34"/>
      <c r="G251" s="35"/>
      <c r="H251" s="10">
        <v>45801.0</v>
      </c>
      <c r="I251" s="35"/>
      <c r="J251" s="32">
        <v>2023.0</v>
      </c>
      <c r="K251" s="32" t="s">
        <v>31</v>
      </c>
      <c r="L251" s="33"/>
      <c r="M251" s="33"/>
      <c r="N251" s="33" t="str">
        <f t="shared" si="34"/>
        <v>#N/A</v>
      </c>
      <c r="O251" s="32">
        <f t="shared" si="98"/>
        <v>2</v>
      </c>
      <c r="P251" s="9">
        <f t="shared" si="5"/>
        <v>2</v>
      </c>
      <c r="Q251" s="9">
        <f t="shared" si="91"/>
        <v>316</v>
      </c>
      <c r="R251" s="9" t="str">
        <f t="shared" si="99"/>
        <v>#REF!</v>
      </c>
      <c r="S251" s="37" t="s">
        <v>195</v>
      </c>
      <c r="T251" s="32"/>
      <c r="U251" s="32"/>
      <c r="V251" s="32"/>
      <c r="W251" s="32" t="s">
        <v>43</v>
      </c>
      <c r="X251" s="32"/>
      <c r="Y251" s="32"/>
      <c r="Z251" s="32" t="s">
        <v>43</v>
      </c>
      <c r="AA251" s="32" t="s">
        <v>46</v>
      </c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</row>
    <row r="252">
      <c r="A252" s="9">
        <v>251.0</v>
      </c>
      <c r="B252" s="9">
        <v>1266.0</v>
      </c>
      <c r="C252" s="13"/>
      <c r="F252" s="18"/>
      <c r="G252" s="12"/>
      <c r="H252" s="18"/>
      <c r="I252" s="12"/>
      <c r="J252" s="9">
        <v>2023.0</v>
      </c>
      <c r="K252" s="9" t="s">
        <v>31</v>
      </c>
      <c r="N252" s="13" t="str">
        <f t="shared" si="34"/>
        <v>#N/A</v>
      </c>
      <c r="O252" s="9">
        <f t="shared" si="98"/>
        <v>1</v>
      </c>
      <c r="P252" s="9">
        <f t="shared" si="5"/>
        <v>1</v>
      </c>
      <c r="Q252" s="9">
        <f t="shared" si="91"/>
        <v>318</v>
      </c>
      <c r="R252" s="9" t="str">
        <f t="shared" si="99"/>
        <v>#REF!</v>
      </c>
      <c r="S252" s="19" t="s">
        <v>185</v>
      </c>
      <c r="T252" s="9" t="s">
        <v>43</v>
      </c>
      <c r="U252" s="9"/>
      <c r="V252" s="9"/>
      <c r="W252" s="9" t="s">
        <v>43</v>
      </c>
      <c r="X252" s="9"/>
      <c r="Y252" s="9"/>
      <c r="Z252" s="9" t="s">
        <v>43</v>
      </c>
      <c r="AA252" s="9" t="s">
        <v>46</v>
      </c>
      <c r="AF252" s="13"/>
      <c r="AG252" s="13"/>
      <c r="AH252" s="13"/>
    </row>
    <row r="253">
      <c r="A253" s="13">
        <v>252.0</v>
      </c>
      <c r="B253" s="9">
        <v>1193.0</v>
      </c>
      <c r="C253" s="13"/>
      <c r="F253" s="18"/>
      <c r="G253" s="12"/>
      <c r="H253" s="18"/>
      <c r="I253" s="12"/>
      <c r="J253" s="9">
        <v>2023.0</v>
      </c>
      <c r="K253" s="9" t="s">
        <v>31</v>
      </c>
      <c r="N253" s="13" t="str">
        <f t="shared" si="34"/>
        <v>#N/A</v>
      </c>
      <c r="O253" s="9">
        <f t="shared" si="98"/>
        <v>2</v>
      </c>
      <c r="P253" s="9">
        <f t="shared" si="5"/>
        <v>2</v>
      </c>
      <c r="Q253" s="9">
        <f t="shared" si="91"/>
        <v>340</v>
      </c>
      <c r="R253" s="9" t="str">
        <f t="shared" si="99"/>
        <v>#REF!</v>
      </c>
      <c r="S253" s="19" t="s">
        <v>185</v>
      </c>
      <c r="T253" s="9" t="s">
        <v>43</v>
      </c>
      <c r="U253" s="9"/>
      <c r="V253" s="9"/>
      <c r="W253" s="9" t="s">
        <v>43</v>
      </c>
      <c r="X253" s="9"/>
      <c r="Y253" s="9"/>
      <c r="Z253" s="9" t="s">
        <v>43</v>
      </c>
      <c r="AA253" s="9" t="s">
        <v>39</v>
      </c>
      <c r="AF253" s="13"/>
      <c r="AG253" s="13"/>
      <c r="AH253" s="13"/>
    </row>
    <row r="254">
      <c r="A254" s="13">
        <v>253.0</v>
      </c>
      <c r="B254" s="9">
        <v>1133.0</v>
      </c>
      <c r="C254" s="13"/>
      <c r="D254" s="13"/>
      <c r="E254" s="13"/>
      <c r="F254" s="18"/>
      <c r="G254" s="12"/>
      <c r="H254" s="10">
        <v>45801.0</v>
      </c>
      <c r="I254" s="12"/>
      <c r="J254" s="9">
        <v>2023.0</v>
      </c>
      <c r="K254" s="9" t="s">
        <v>31</v>
      </c>
      <c r="L254" s="13"/>
      <c r="M254" s="13"/>
      <c r="N254" s="13" t="str">
        <f t="shared" si="34"/>
        <v>#N/A</v>
      </c>
      <c r="O254" s="9">
        <f t="shared" si="98"/>
        <v>3</v>
      </c>
      <c r="P254" s="9">
        <f t="shared" si="5"/>
        <v>3</v>
      </c>
      <c r="Q254" s="9">
        <f t="shared" si="91"/>
        <v>322</v>
      </c>
      <c r="R254" s="9" t="str">
        <f t="shared" si="99"/>
        <v>#REF!</v>
      </c>
      <c r="S254" s="19" t="s">
        <v>196</v>
      </c>
      <c r="T254" s="9"/>
      <c r="U254" s="9"/>
      <c r="V254" s="9"/>
      <c r="W254" s="9" t="s">
        <v>43</v>
      </c>
      <c r="X254" s="9"/>
      <c r="Y254" s="9"/>
      <c r="Z254" s="9" t="s">
        <v>43</v>
      </c>
      <c r="AA254" s="9" t="s">
        <v>39</v>
      </c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</row>
    <row r="255">
      <c r="A255" s="13">
        <v>254.0</v>
      </c>
      <c r="B255" s="9">
        <v>1195.0</v>
      </c>
      <c r="C255" s="13"/>
      <c r="F255" s="18"/>
      <c r="G255" s="12"/>
      <c r="H255" s="18"/>
      <c r="I255" s="12"/>
      <c r="J255" s="9">
        <v>2023.0</v>
      </c>
      <c r="K255" s="9" t="s">
        <v>31</v>
      </c>
      <c r="N255" s="13" t="str">
        <f t="shared" si="34"/>
        <v>#N/A</v>
      </c>
      <c r="O255" s="9">
        <f t="shared" si="98"/>
        <v>1</v>
      </c>
      <c r="P255" s="9">
        <f t="shared" si="5"/>
        <v>1</v>
      </c>
      <c r="Q255" s="9">
        <f t="shared" si="91"/>
        <v>303</v>
      </c>
      <c r="R255" s="9" t="str">
        <f t="shared" si="99"/>
        <v>#REF!</v>
      </c>
      <c r="S255" s="19" t="s">
        <v>185</v>
      </c>
      <c r="T255" s="9" t="s">
        <v>43</v>
      </c>
      <c r="U255" s="9"/>
      <c r="V255" s="9"/>
      <c r="W255" s="9" t="s">
        <v>43</v>
      </c>
      <c r="X255" s="9"/>
      <c r="Y255" s="9"/>
      <c r="Z255" s="9" t="s">
        <v>43</v>
      </c>
      <c r="AA255" s="9" t="s">
        <v>39</v>
      </c>
      <c r="AF255" s="13"/>
      <c r="AG255" s="13"/>
      <c r="AH255" s="13"/>
    </row>
    <row r="256">
      <c r="A256" s="13">
        <v>255.0</v>
      </c>
      <c r="B256" s="9" t="s">
        <v>197</v>
      </c>
      <c r="C256" s="9" t="s">
        <v>198</v>
      </c>
      <c r="F256" s="10">
        <v>45463.0</v>
      </c>
      <c r="G256" s="11">
        <v>425.0</v>
      </c>
      <c r="H256" s="18"/>
      <c r="I256" s="12"/>
      <c r="J256" s="10">
        <v>45323.0</v>
      </c>
      <c r="K256" s="9" t="s">
        <v>49</v>
      </c>
      <c r="N256" s="13" t="str">
        <f t="shared" si="34"/>
        <v>#N/A</v>
      </c>
      <c r="O256" s="9">
        <f t="shared" si="98"/>
        <v>0</v>
      </c>
      <c r="P256" s="9">
        <f t="shared" si="5"/>
        <v>0</v>
      </c>
      <c r="Q256" s="20">
        <f t="shared" si="91"/>
        <v>46012</v>
      </c>
      <c r="R256" s="9" t="str">
        <f t="shared" si="99"/>
        <v>X</v>
      </c>
      <c r="S256" s="38">
        <f>F256+152</f>
        <v>45615</v>
      </c>
      <c r="T256" s="9" t="s">
        <v>43</v>
      </c>
      <c r="U256" s="9"/>
      <c r="V256" s="9"/>
      <c r="W256" s="9"/>
      <c r="X256" s="9"/>
      <c r="Y256" s="9" t="s">
        <v>43</v>
      </c>
      <c r="Z256" s="13"/>
      <c r="AA256" s="13"/>
      <c r="AF256" s="13"/>
      <c r="AG256" s="13"/>
      <c r="AH256" s="13"/>
    </row>
    <row r="257">
      <c r="A257" s="13">
        <v>256.0</v>
      </c>
      <c r="B257" s="9">
        <v>1271.0</v>
      </c>
      <c r="C257" s="13"/>
      <c r="F257" s="18"/>
      <c r="G257" s="12"/>
      <c r="H257" s="18"/>
      <c r="I257" s="12"/>
      <c r="J257" s="10">
        <v>45671.0</v>
      </c>
      <c r="K257" s="9" t="s">
        <v>31</v>
      </c>
      <c r="L257" s="39">
        <v>255.0</v>
      </c>
      <c r="M257" s="9">
        <v>100.0</v>
      </c>
      <c r="N257" s="13">
        <f t="shared" si="34"/>
        <v>1114</v>
      </c>
      <c r="O257" s="9">
        <f t="shared" si="98"/>
        <v>0</v>
      </c>
      <c r="P257" s="9">
        <f t="shared" si="5"/>
        <v>0</v>
      </c>
      <c r="Q257" s="20">
        <f t="shared" si="91"/>
        <v>46012</v>
      </c>
      <c r="R257" s="9" t="str">
        <f t="shared" si="99"/>
        <v>#REF!</v>
      </c>
      <c r="S257" s="28"/>
      <c r="T257" s="9" t="s">
        <v>43</v>
      </c>
      <c r="U257" s="9"/>
      <c r="V257" s="9"/>
      <c r="W257" s="9" t="s">
        <v>43</v>
      </c>
      <c r="Z257" s="13"/>
      <c r="AA257" s="13"/>
      <c r="AF257" s="13"/>
      <c r="AG257" s="13"/>
      <c r="AH257" s="13"/>
    </row>
    <row r="258">
      <c r="A258" s="13">
        <v>257.0</v>
      </c>
      <c r="B258" s="9">
        <v>1272.0</v>
      </c>
      <c r="C258" s="13"/>
      <c r="D258" s="13"/>
      <c r="E258" s="13"/>
      <c r="F258" s="18"/>
      <c r="G258" s="12"/>
      <c r="H258" s="10">
        <v>45845.0</v>
      </c>
      <c r="I258" s="12"/>
      <c r="J258" s="10">
        <v>45671.0</v>
      </c>
      <c r="K258" s="9" t="s">
        <v>31</v>
      </c>
      <c r="L258" s="39">
        <v>255.0</v>
      </c>
      <c r="M258" s="9">
        <v>100.0</v>
      </c>
      <c r="N258" s="13">
        <f t="shared" si="34"/>
        <v>1114</v>
      </c>
      <c r="O258" s="9">
        <f t="shared" si="98"/>
        <v>0</v>
      </c>
      <c r="P258" s="9">
        <f t="shared" si="5"/>
        <v>0</v>
      </c>
      <c r="Q258" s="20">
        <f t="shared" si="91"/>
        <v>46012</v>
      </c>
      <c r="R258" s="9" t="str">
        <f t="shared" si="99"/>
        <v>#REF!</v>
      </c>
      <c r="S258" s="28"/>
      <c r="T258" s="9"/>
      <c r="U258" s="9" t="s">
        <v>43</v>
      </c>
      <c r="V258" s="9"/>
      <c r="W258" s="9" t="s">
        <v>43</v>
      </c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</row>
    <row r="259">
      <c r="A259" s="13">
        <v>258.0</v>
      </c>
      <c r="B259" s="9">
        <v>1273.0</v>
      </c>
      <c r="C259" s="13"/>
      <c r="D259" s="13"/>
      <c r="E259" s="13"/>
      <c r="F259" s="18"/>
      <c r="G259" s="12"/>
      <c r="H259" s="10">
        <v>45819.0</v>
      </c>
      <c r="I259" s="12"/>
      <c r="J259" s="10">
        <v>45672.0</v>
      </c>
      <c r="K259" s="9" t="s">
        <v>31</v>
      </c>
      <c r="L259" s="39">
        <v>255.0</v>
      </c>
      <c r="M259" s="9">
        <v>67.0</v>
      </c>
      <c r="N259" s="13">
        <f t="shared" si="34"/>
        <v>1042</v>
      </c>
      <c r="O259" s="9">
        <f t="shared" si="98"/>
        <v>0</v>
      </c>
      <c r="P259" s="9">
        <f t="shared" si="5"/>
        <v>0</v>
      </c>
      <c r="Q259" s="20">
        <f t="shared" si="91"/>
        <v>46012</v>
      </c>
      <c r="R259" s="9" t="str">
        <f t="shared" si="99"/>
        <v>#REF!</v>
      </c>
      <c r="S259" s="28"/>
      <c r="T259" s="9"/>
      <c r="U259" s="9"/>
      <c r="V259" s="9"/>
      <c r="W259" s="9" t="s">
        <v>43</v>
      </c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</row>
    <row r="260">
      <c r="A260" s="13">
        <v>259.0</v>
      </c>
      <c r="B260" s="9">
        <v>1274.0</v>
      </c>
      <c r="C260" s="13"/>
      <c r="F260" s="18"/>
      <c r="G260" s="12"/>
      <c r="H260" s="18"/>
      <c r="I260" s="12"/>
      <c r="J260" s="10">
        <v>45672.0</v>
      </c>
      <c r="K260" s="9" t="s">
        <v>31</v>
      </c>
      <c r="L260" s="39">
        <v>255.0</v>
      </c>
      <c r="M260" s="9">
        <v>67.0</v>
      </c>
      <c r="N260" s="13">
        <f t="shared" si="34"/>
        <v>1042</v>
      </c>
      <c r="O260" s="9">
        <f t="shared" si="98"/>
        <v>0</v>
      </c>
      <c r="P260" s="9">
        <f t="shared" si="5"/>
        <v>0</v>
      </c>
      <c r="Q260" s="20">
        <f t="shared" si="91"/>
        <v>46012</v>
      </c>
      <c r="R260" s="9" t="str">
        <f t="shared" si="99"/>
        <v>#REF!</v>
      </c>
      <c r="S260" s="28"/>
      <c r="T260" s="9" t="s">
        <v>43</v>
      </c>
      <c r="U260" s="9"/>
      <c r="V260" s="9"/>
      <c r="W260" s="9" t="s">
        <v>43</v>
      </c>
      <c r="X260" s="9" t="s">
        <v>43</v>
      </c>
      <c r="Z260" s="13"/>
      <c r="AA260" s="13"/>
      <c r="AF260" s="13"/>
      <c r="AG260" s="13"/>
      <c r="AH260" s="13"/>
    </row>
    <row r="261">
      <c r="A261" s="13">
        <v>260.0</v>
      </c>
      <c r="B261" s="9">
        <v>1275.0</v>
      </c>
      <c r="C261" s="13"/>
      <c r="F261" s="18"/>
      <c r="G261" s="12"/>
      <c r="H261" s="18"/>
      <c r="I261" s="12"/>
      <c r="J261" s="10">
        <v>45672.0</v>
      </c>
      <c r="K261" s="9" t="s">
        <v>31</v>
      </c>
      <c r="L261" s="39">
        <v>255.0</v>
      </c>
      <c r="M261" s="9">
        <v>252.0</v>
      </c>
      <c r="N261" s="13">
        <f t="shared" si="34"/>
        <v>1193</v>
      </c>
      <c r="O261" s="9">
        <f t="shared" si="98"/>
        <v>0</v>
      </c>
      <c r="P261" s="9">
        <f t="shared" si="5"/>
        <v>0</v>
      </c>
      <c r="Q261" s="20">
        <f t="shared" si="91"/>
        <v>46012</v>
      </c>
      <c r="R261" s="9" t="str">
        <f t="shared" si="99"/>
        <v>#REF!</v>
      </c>
      <c r="S261" s="28"/>
      <c r="T261" s="9" t="s">
        <v>43</v>
      </c>
      <c r="U261" s="9"/>
      <c r="V261" s="9"/>
      <c r="W261" s="9" t="s">
        <v>43</v>
      </c>
      <c r="X261" s="9" t="s">
        <v>43</v>
      </c>
      <c r="Z261" s="13"/>
      <c r="AA261" s="13"/>
      <c r="AF261" s="13"/>
      <c r="AG261" s="13"/>
      <c r="AH261" s="13"/>
    </row>
    <row r="262">
      <c r="A262" s="13">
        <v>261.0</v>
      </c>
      <c r="B262" s="9">
        <v>1276.0</v>
      </c>
      <c r="C262" s="13"/>
      <c r="F262" s="18"/>
      <c r="G262" s="12"/>
      <c r="H262" s="18"/>
      <c r="I262" s="12"/>
      <c r="J262" s="10">
        <v>45672.0</v>
      </c>
      <c r="K262" s="9" t="s">
        <v>31</v>
      </c>
      <c r="L262" s="39">
        <v>255.0</v>
      </c>
      <c r="M262" s="9">
        <v>252.0</v>
      </c>
      <c r="N262" s="13">
        <f t="shared" si="34"/>
        <v>1193</v>
      </c>
      <c r="O262" s="9">
        <f t="shared" si="98"/>
        <v>0</v>
      </c>
      <c r="P262" s="9">
        <f t="shared" si="5"/>
        <v>0</v>
      </c>
      <c r="Q262" s="20">
        <f t="shared" si="91"/>
        <v>46012</v>
      </c>
      <c r="R262" s="9" t="str">
        <f t="shared" si="99"/>
        <v>#REF!</v>
      </c>
      <c r="S262" s="28"/>
      <c r="T262" s="9" t="s">
        <v>43</v>
      </c>
      <c r="U262" s="9"/>
      <c r="V262" s="9"/>
      <c r="W262" s="9" t="s">
        <v>43</v>
      </c>
      <c r="X262" s="9" t="s">
        <v>43</v>
      </c>
      <c r="Z262" s="13"/>
      <c r="AA262" s="13"/>
      <c r="AF262" s="13"/>
      <c r="AG262" s="13"/>
      <c r="AH262" s="13"/>
    </row>
    <row r="263">
      <c r="A263" s="13">
        <v>262.0</v>
      </c>
      <c r="B263" s="13"/>
      <c r="C263" s="13"/>
      <c r="D263" s="13"/>
      <c r="E263" s="13"/>
      <c r="F263" s="18"/>
      <c r="G263" s="12"/>
      <c r="H263" s="10">
        <v>45672.0</v>
      </c>
      <c r="I263" s="12"/>
      <c r="J263" s="10">
        <v>45672.0</v>
      </c>
      <c r="K263" s="13"/>
      <c r="L263" s="39">
        <v>93255.0</v>
      </c>
      <c r="M263" s="9">
        <v>91.0</v>
      </c>
      <c r="N263" s="13">
        <f t="shared" si="34"/>
        <v>1110</v>
      </c>
      <c r="O263" s="13"/>
      <c r="P263" s="9">
        <f t="shared" si="5"/>
        <v>0</v>
      </c>
      <c r="Q263" s="9"/>
      <c r="R263" s="9" t="str">
        <f t="array" ref="R263">if("m"=K263,"X",if(or(countif(Cull!A:A,B:B)&gt;0,"X"= XLOOKUP(M:M,A:A,R:R)),"X",""))</f>
        <v>#REF!</v>
      </c>
      <c r="S263" s="9" t="s">
        <v>199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</row>
    <row r="264">
      <c r="A264" s="13">
        <v>263.0</v>
      </c>
      <c r="B264" s="9">
        <v>1277.0</v>
      </c>
      <c r="C264" s="13"/>
      <c r="D264" s="13"/>
      <c r="E264" s="13"/>
      <c r="F264" s="18"/>
      <c r="G264" s="12"/>
      <c r="H264" s="10">
        <v>45819.0</v>
      </c>
      <c r="I264" s="12"/>
      <c r="J264" s="40">
        <v>45673.0</v>
      </c>
      <c r="K264" s="9" t="s">
        <v>31</v>
      </c>
      <c r="L264" s="39">
        <v>255.0</v>
      </c>
      <c r="M264" s="9">
        <v>23.0</v>
      </c>
      <c r="N264" s="13" t="str">
        <f t="shared" si="34"/>
        <v>000014</v>
      </c>
      <c r="O264" s="9">
        <f t="shared" ref="O264:O324" si="100">countif(M:M,A264)</f>
        <v>0</v>
      </c>
      <c r="P264" s="9">
        <f t="shared" si="5"/>
        <v>0</v>
      </c>
      <c r="Q264" s="20">
        <f t="shared" ref="Q264:Q310" si="101">today()-xlookup(A264,M:M,J:J,"",0,-1)</f>
        <v>46012</v>
      </c>
      <c r="R264" s="9" t="str">
        <f t="shared" ref="R264:R297" si="102">if(if("m"=K264,true,countif(Cull!A:A,B:B)&gt;0),"X","")</f>
        <v>#REF!</v>
      </c>
      <c r="S264" s="19" t="s">
        <v>200</v>
      </c>
      <c r="T264" s="9"/>
      <c r="U264" s="9"/>
      <c r="V264" s="9"/>
      <c r="W264" s="9" t="s">
        <v>43</v>
      </c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</row>
    <row r="265">
      <c r="A265" s="13">
        <v>264.0</v>
      </c>
      <c r="B265" s="9">
        <v>1278.0</v>
      </c>
      <c r="C265" s="13"/>
      <c r="F265" s="18"/>
      <c r="G265" s="12"/>
      <c r="H265" s="18"/>
      <c r="I265" s="12"/>
      <c r="J265" s="10">
        <v>45674.0</v>
      </c>
      <c r="K265" s="9" t="s">
        <v>31</v>
      </c>
      <c r="L265" s="39">
        <v>255.0</v>
      </c>
      <c r="M265" s="9">
        <v>225.0</v>
      </c>
      <c r="N265" s="13">
        <f t="shared" si="34"/>
        <v>1194</v>
      </c>
      <c r="O265" s="9">
        <f t="shared" si="100"/>
        <v>0</v>
      </c>
      <c r="P265" s="9">
        <f t="shared" si="5"/>
        <v>0</v>
      </c>
      <c r="Q265" s="20">
        <f t="shared" si="101"/>
        <v>46012</v>
      </c>
      <c r="R265" s="9" t="str">
        <f t="shared" si="102"/>
        <v>#REF!</v>
      </c>
      <c r="S265" s="19" t="s">
        <v>37</v>
      </c>
      <c r="T265" s="9" t="s">
        <v>43</v>
      </c>
      <c r="U265" s="9"/>
      <c r="V265" s="9"/>
      <c r="W265" s="9" t="s">
        <v>43</v>
      </c>
      <c r="X265" s="9" t="s">
        <v>43</v>
      </c>
      <c r="Z265" s="13"/>
      <c r="AA265" s="13"/>
      <c r="AF265" s="13"/>
      <c r="AG265" s="13"/>
      <c r="AH265" s="13"/>
    </row>
    <row r="266">
      <c r="A266" s="13">
        <f t="shared" ref="A266:A365" si="103">A265+1</f>
        <v>265</v>
      </c>
      <c r="B266" s="9">
        <v>1280.0</v>
      </c>
      <c r="C266" s="13"/>
      <c r="F266" s="18"/>
      <c r="G266" s="12"/>
      <c r="H266" s="18"/>
      <c r="I266" s="12"/>
      <c r="J266" s="10">
        <v>45674.0</v>
      </c>
      <c r="K266" s="9" t="s">
        <v>31</v>
      </c>
      <c r="L266" s="39">
        <v>255.0</v>
      </c>
      <c r="M266" s="9">
        <v>9.0</v>
      </c>
      <c r="N266" s="13" t="str">
        <f t="shared" si="34"/>
        <v>000017</v>
      </c>
      <c r="O266" s="9">
        <f t="shared" si="100"/>
        <v>0</v>
      </c>
      <c r="P266" s="9">
        <f t="shared" si="5"/>
        <v>0</v>
      </c>
      <c r="Q266" s="20">
        <f t="shared" si="101"/>
        <v>46012</v>
      </c>
      <c r="R266" s="9" t="str">
        <f t="shared" si="102"/>
        <v>#REF!</v>
      </c>
      <c r="S266" s="19" t="s">
        <v>37</v>
      </c>
      <c r="T266" s="9" t="s">
        <v>43</v>
      </c>
      <c r="U266" s="9"/>
      <c r="V266" s="9"/>
      <c r="W266" s="9" t="s">
        <v>43</v>
      </c>
      <c r="X266" s="9" t="s">
        <v>43</v>
      </c>
      <c r="Z266" s="13"/>
      <c r="AA266" s="13"/>
      <c r="AF266" s="13"/>
      <c r="AG266" s="13"/>
      <c r="AH266" s="13"/>
    </row>
    <row r="267">
      <c r="A267" s="13">
        <f t="shared" si="103"/>
        <v>266</v>
      </c>
      <c r="B267" s="9">
        <v>1281.0</v>
      </c>
      <c r="C267" s="13"/>
      <c r="D267" s="13"/>
      <c r="E267" s="13"/>
      <c r="F267" s="18"/>
      <c r="G267" s="12"/>
      <c r="H267" s="10">
        <v>45810.0</v>
      </c>
      <c r="I267" s="12"/>
      <c r="J267" s="10">
        <v>45674.0</v>
      </c>
      <c r="K267" s="9" t="s">
        <v>49</v>
      </c>
      <c r="L267" s="39">
        <v>255.0</v>
      </c>
      <c r="M267" s="9">
        <v>9.0</v>
      </c>
      <c r="N267" s="13" t="str">
        <f t="shared" si="34"/>
        <v>000017</v>
      </c>
      <c r="O267" s="9">
        <f t="shared" si="100"/>
        <v>0</v>
      </c>
      <c r="P267" s="9">
        <f t="shared" si="5"/>
        <v>0</v>
      </c>
      <c r="Q267" s="20">
        <f t="shared" si="101"/>
        <v>46012</v>
      </c>
      <c r="R267" s="9" t="str">
        <f t="shared" si="102"/>
        <v>X</v>
      </c>
      <c r="S267" s="19" t="s">
        <v>37</v>
      </c>
      <c r="T267" s="9"/>
      <c r="U267" s="9"/>
      <c r="V267" s="9"/>
      <c r="W267" s="9" t="s">
        <v>43</v>
      </c>
      <c r="X267" s="9" t="s">
        <v>43</v>
      </c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</row>
    <row r="268">
      <c r="A268" s="13">
        <f t="shared" si="103"/>
        <v>267</v>
      </c>
      <c r="B268" s="9">
        <v>1284.0</v>
      </c>
      <c r="C268" s="13"/>
      <c r="F268" s="18"/>
      <c r="G268" s="12"/>
      <c r="H268" s="18"/>
      <c r="I268" s="12"/>
      <c r="J268" s="10">
        <v>45674.0</v>
      </c>
      <c r="K268" s="9" t="s">
        <v>31</v>
      </c>
      <c r="L268" s="39">
        <v>255.0</v>
      </c>
      <c r="M268" s="9">
        <v>117.0</v>
      </c>
      <c r="N268" s="13">
        <f t="shared" si="34"/>
        <v>1129</v>
      </c>
      <c r="O268" s="9">
        <f t="shared" si="100"/>
        <v>0</v>
      </c>
      <c r="P268" s="9">
        <f t="shared" si="5"/>
        <v>0</v>
      </c>
      <c r="Q268" s="20">
        <f t="shared" si="101"/>
        <v>46012</v>
      </c>
      <c r="R268" s="9" t="str">
        <f t="shared" si="102"/>
        <v>#REF!</v>
      </c>
      <c r="S268" s="28"/>
      <c r="T268" s="9" t="s">
        <v>43</v>
      </c>
      <c r="U268" s="9"/>
      <c r="V268" s="9"/>
      <c r="W268" s="9" t="s">
        <v>43</v>
      </c>
      <c r="X268" s="9" t="s">
        <v>43</v>
      </c>
      <c r="Z268" s="13"/>
      <c r="AA268" s="13"/>
      <c r="AF268" s="13"/>
      <c r="AG268" s="13"/>
      <c r="AH268" s="13"/>
    </row>
    <row r="269">
      <c r="A269" s="13">
        <f t="shared" si="103"/>
        <v>268</v>
      </c>
      <c r="B269" s="9">
        <v>1279.0</v>
      </c>
      <c r="C269" s="13"/>
      <c r="D269" s="13"/>
      <c r="E269" s="13"/>
      <c r="F269" s="18"/>
      <c r="G269" s="12"/>
      <c r="H269" s="10">
        <v>45819.0</v>
      </c>
      <c r="I269" s="12"/>
      <c r="J269" s="10">
        <v>45674.0</v>
      </c>
      <c r="K269" s="9" t="s">
        <v>31</v>
      </c>
      <c r="L269" s="39">
        <v>255.0</v>
      </c>
      <c r="M269" s="9">
        <v>242.0</v>
      </c>
      <c r="N269" s="13">
        <f t="shared" si="34"/>
        <v>1261</v>
      </c>
      <c r="O269" s="9">
        <f t="shared" si="100"/>
        <v>0</v>
      </c>
      <c r="P269" s="9">
        <f t="shared" si="5"/>
        <v>0</v>
      </c>
      <c r="Q269" s="20">
        <f t="shared" si="101"/>
        <v>46012</v>
      </c>
      <c r="R269" s="9" t="str">
        <f t="shared" si="102"/>
        <v>#REF!</v>
      </c>
      <c r="S269" s="19" t="s">
        <v>201</v>
      </c>
      <c r="T269" s="9"/>
      <c r="U269" s="9"/>
      <c r="V269" s="9"/>
      <c r="W269" s="9" t="s">
        <v>43</v>
      </c>
      <c r="X269" s="9" t="s">
        <v>43</v>
      </c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</row>
    <row r="270">
      <c r="A270" s="13">
        <f t="shared" si="103"/>
        <v>269</v>
      </c>
      <c r="B270" s="9">
        <v>1287.0</v>
      </c>
      <c r="C270" s="13"/>
      <c r="D270" s="13"/>
      <c r="E270" s="13"/>
      <c r="F270" s="18"/>
      <c r="G270" s="12"/>
      <c r="H270" s="14">
        <v>45787.0</v>
      </c>
      <c r="I270" s="14"/>
      <c r="J270" s="10">
        <v>45674.0</v>
      </c>
      <c r="K270" s="9" t="s">
        <v>49</v>
      </c>
      <c r="L270" s="39">
        <v>255.0</v>
      </c>
      <c r="M270" s="9">
        <v>242.0</v>
      </c>
      <c r="N270" s="13">
        <f t="shared" si="34"/>
        <v>1261</v>
      </c>
      <c r="O270" s="9">
        <f t="shared" si="100"/>
        <v>0</v>
      </c>
      <c r="P270" s="9">
        <f t="shared" si="5"/>
        <v>0</v>
      </c>
      <c r="Q270" s="20">
        <f t="shared" si="101"/>
        <v>46012</v>
      </c>
      <c r="R270" s="9" t="str">
        <f t="shared" si="102"/>
        <v>X</v>
      </c>
      <c r="S270" s="19" t="s">
        <v>201</v>
      </c>
      <c r="T270" s="9"/>
      <c r="U270" s="9"/>
      <c r="V270" s="9" t="s">
        <v>43</v>
      </c>
      <c r="W270" s="9" t="s">
        <v>94</v>
      </c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</row>
    <row r="271">
      <c r="A271" s="13">
        <f t="shared" si="103"/>
        <v>270</v>
      </c>
      <c r="B271" s="9">
        <v>1282.0</v>
      </c>
      <c r="C271" s="13"/>
      <c r="D271" s="13"/>
      <c r="E271" s="13"/>
      <c r="F271" s="18"/>
      <c r="G271" s="12"/>
      <c r="H271" s="10">
        <v>45810.0</v>
      </c>
      <c r="I271" s="12"/>
      <c r="J271" s="10">
        <v>45675.0</v>
      </c>
      <c r="K271" s="9" t="s">
        <v>49</v>
      </c>
      <c r="L271" s="39">
        <v>255.0</v>
      </c>
      <c r="M271" s="9">
        <v>92.0</v>
      </c>
      <c r="N271" s="13">
        <f t="shared" si="34"/>
        <v>1111</v>
      </c>
      <c r="O271" s="9">
        <f t="shared" si="100"/>
        <v>0</v>
      </c>
      <c r="P271" s="9">
        <f t="shared" si="5"/>
        <v>0</v>
      </c>
      <c r="Q271" s="20">
        <f t="shared" si="101"/>
        <v>46012</v>
      </c>
      <c r="R271" s="9" t="str">
        <f t="shared" si="102"/>
        <v>X</v>
      </c>
      <c r="S271" s="19" t="s">
        <v>166</v>
      </c>
      <c r="T271" s="9"/>
      <c r="U271" s="9"/>
      <c r="V271" s="9"/>
      <c r="W271" s="9" t="s">
        <v>94</v>
      </c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</row>
    <row r="272">
      <c r="A272" s="13">
        <f t="shared" si="103"/>
        <v>271</v>
      </c>
      <c r="B272" s="9">
        <v>1283.0</v>
      </c>
      <c r="C272" s="13"/>
      <c r="D272" s="13"/>
      <c r="E272" s="13"/>
      <c r="F272" s="18"/>
      <c r="G272" s="12"/>
      <c r="H272" s="14">
        <v>45787.0</v>
      </c>
      <c r="I272" s="14"/>
      <c r="J272" s="10">
        <v>45675.0</v>
      </c>
      <c r="K272" s="9" t="s">
        <v>49</v>
      </c>
      <c r="L272" s="39">
        <v>255.0</v>
      </c>
      <c r="M272" s="9">
        <v>92.0</v>
      </c>
      <c r="N272" s="13">
        <f t="shared" si="34"/>
        <v>1111</v>
      </c>
      <c r="O272" s="9">
        <f t="shared" si="100"/>
        <v>0</v>
      </c>
      <c r="P272" s="9">
        <f t="shared" si="5"/>
        <v>0</v>
      </c>
      <c r="Q272" s="20">
        <f t="shared" si="101"/>
        <v>46012</v>
      </c>
      <c r="R272" s="9" t="str">
        <f t="shared" si="102"/>
        <v>X</v>
      </c>
      <c r="S272" s="19" t="s">
        <v>37</v>
      </c>
      <c r="T272" s="9"/>
      <c r="U272" s="9"/>
      <c r="V272" s="9" t="s">
        <v>43</v>
      </c>
      <c r="W272" s="9" t="s">
        <v>43</v>
      </c>
      <c r="X272" s="9" t="s">
        <v>43</v>
      </c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</row>
    <row r="273">
      <c r="A273" s="13">
        <f t="shared" si="103"/>
        <v>272</v>
      </c>
      <c r="B273" s="9">
        <v>1285.0</v>
      </c>
      <c r="C273" s="13"/>
      <c r="D273" s="13"/>
      <c r="E273" s="13"/>
      <c r="F273" s="18"/>
      <c r="G273" s="12"/>
      <c r="H273" s="14">
        <v>45787.0</v>
      </c>
      <c r="I273" s="14"/>
      <c r="J273" s="10">
        <v>45676.0</v>
      </c>
      <c r="K273" s="9" t="s">
        <v>49</v>
      </c>
      <c r="L273" s="39">
        <v>255.0</v>
      </c>
      <c r="M273" s="9">
        <v>112.0</v>
      </c>
      <c r="N273" s="13">
        <f t="shared" si="34"/>
        <v>1119</v>
      </c>
      <c r="O273" s="9">
        <f t="shared" si="100"/>
        <v>0</v>
      </c>
      <c r="P273" s="9">
        <f t="shared" si="5"/>
        <v>0</v>
      </c>
      <c r="Q273" s="20">
        <f t="shared" si="101"/>
        <v>46012</v>
      </c>
      <c r="R273" s="9" t="str">
        <f t="shared" si="102"/>
        <v>X</v>
      </c>
      <c r="S273" s="19" t="s">
        <v>45</v>
      </c>
      <c r="T273" s="9"/>
      <c r="U273" s="9"/>
      <c r="V273" s="9" t="s">
        <v>43</v>
      </c>
      <c r="W273" s="9" t="s">
        <v>43</v>
      </c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</row>
    <row r="274">
      <c r="A274" s="13">
        <f t="shared" si="103"/>
        <v>273</v>
      </c>
      <c r="B274" s="9">
        <v>1286.0</v>
      </c>
      <c r="C274" s="13"/>
      <c r="D274" s="13"/>
      <c r="E274" s="13"/>
      <c r="F274" s="18"/>
      <c r="G274" s="12"/>
      <c r="H274" s="14">
        <v>45787.0</v>
      </c>
      <c r="I274" s="14"/>
      <c r="J274" s="10">
        <v>45676.0</v>
      </c>
      <c r="K274" s="9" t="s">
        <v>49</v>
      </c>
      <c r="L274" s="39">
        <v>255.0</v>
      </c>
      <c r="M274" s="9">
        <v>112.0</v>
      </c>
      <c r="N274" s="13">
        <f t="shared" si="34"/>
        <v>1119</v>
      </c>
      <c r="O274" s="9">
        <f t="shared" si="100"/>
        <v>0</v>
      </c>
      <c r="P274" s="9">
        <f t="shared" si="5"/>
        <v>0</v>
      </c>
      <c r="Q274" s="20">
        <f t="shared" si="101"/>
        <v>46012</v>
      </c>
      <c r="R274" s="9" t="str">
        <f t="shared" si="102"/>
        <v>X</v>
      </c>
      <c r="S274" s="19" t="s">
        <v>37</v>
      </c>
      <c r="T274" s="9"/>
      <c r="U274" s="9"/>
      <c r="V274" s="9" t="s">
        <v>43</v>
      </c>
      <c r="W274" s="9" t="s">
        <v>43</v>
      </c>
      <c r="X274" s="9" t="s">
        <v>43</v>
      </c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</row>
    <row r="275">
      <c r="A275" s="13">
        <f t="shared" si="103"/>
        <v>274</v>
      </c>
      <c r="B275" s="9">
        <v>1288.0</v>
      </c>
      <c r="C275" s="13"/>
      <c r="D275" s="13"/>
      <c r="E275" s="13"/>
      <c r="F275" s="18"/>
      <c r="G275" s="12"/>
      <c r="H275" s="14">
        <v>45787.0</v>
      </c>
      <c r="I275" s="14"/>
      <c r="J275" s="10">
        <v>45681.0</v>
      </c>
      <c r="K275" s="9" t="s">
        <v>49</v>
      </c>
      <c r="L275" s="39">
        <v>255.0</v>
      </c>
      <c r="M275" s="9">
        <v>134.0</v>
      </c>
      <c r="N275" s="13">
        <f t="shared" si="34"/>
        <v>1179</v>
      </c>
      <c r="O275" s="9">
        <f t="shared" si="100"/>
        <v>0</v>
      </c>
      <c r="P275" s="9">
        <f t="shared" si="5"/>
        <v>0</v>
      </c>
      <c r="Q275" s="20">
        <f t="shared" si="101"/>
        <v>46012</v>
      </c>
      <c r="R275" s="9" t="str">
        <f t="shared" si="102"/>
        <v>X</v>
      </c>
      <c r="S275" s="19" t="s">
        <v>37</v>
      </c>
      <c r="T275" s="9"/>
      <c r="U275" s="9"/>
      <c r="V275" s="9" t="s">
        <v>43</v>
      </c>
      <c r="W275" s="9" t="s">
        <v>43</v>
      </c>
      <c r="X275" s="9" t="s">
        <v>43</v>
      </c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</row>
    <row r="276">
      <c r="A276" s="13">
        <f t="shared" si="103"/>
        <v>275</v>
      </c>
      <c r="B276" s="9">
        <v>1289.0</v>
      </c>
      <c r="C276" s="13"/>
      <c r="F276" s="18"/>
      <c r="G276" s="12"/>
      <c r="H276" s="18"/>
      <c r="I276" s="12"/>
      <c r="J276" s="10">
        <v>45685.0</v>
      </c>
      <c r="K276" s="9" t="s">
        <v>31</v>
      </c>
      <c r="L276" s="39">
        <v>255.0</v>
      </c>
      <c r="M276" s="9">
        <v>247.0</v>
      </c>
      <c r="N276" s="13">
        <f t="shared" si="34"/>
        <v>1175</v>
      </c>
      <c r="O276" s="9">
        <f t="shared" si="100"/>
        <v>0</v>
      </c>
      <c r="P276" s="9">
        <f t="shared" si="5"/>
        <v>0</v>
      </c>
      <c r="Q276" s="20">
        <f t="shared" si="101"/>
        <v>46012</v>
      </c>
      <c r="R276" s="9" t="str">
        <f t="shared" si="102"/>
        <v>#REF!</v>
      </c>
      <c r="S276" s="19" t="s">
        <v>166</v>
      </c>
      <c r="Z276" s="13"/>
      <c r="AA276" s="13"/>
      <c r="AF276" s="13"/>
      <c r="AG276" s="13"/>
      <c r="AH276" s="13"/>
    </row>
    <row r="277">
      <c r="A277" s="13">
        <f t="shared" si="103"/>
        <v>276</v>
      </c>
      <c r="B277" s="9">
        <v>1290.0</v>
      </c>
      <c r="C277" s="13"/>
      <c r="D277" s="13"/>
      <c r="E277" s="13"/>
      <c r="F277" s="18"/>
      <c r="G277" s="12"/>
      <c r="H277" s="10">
        <v>45845.0</v>
      </c>
      <c r="I277" s="12"/>
      <c r="J277" s="10">
        <v>45687.0</v>
      </c>
      <c r="K277" s="9" t="s">
        <v>49</v>
      </c>
      <c r="L277" s="39">
        <v>255.0</v>
      </c>
      <c r="M277" s="9">
        <v>94.0</v>
      </c>
      <c r="N277" s="9">
        <v>1113.0</v>
      </c>
      <c r="O277" s="9">
        <f t="shared" si="100"/>
        <v>0</v>
      </c>
      <c r="P277" s="9">
        <f t="shared" si="5"/>
        <v>0</v>
      </c>
      <c r="Q277" s="20">
        <f t="shared" si="101"/>
        <v>46012</v>
      </c>
      <c r="R277" s="9" t="str">
        <f t="shared" si="102"/>
        <v>X</v>
      </c>
      <c r="S277" s="19" t="s">
        <v>202</v>
      </c>
      <c r="T277" s="9"/>
      <c r="U277" s="9"/>
      <c r="V277" s="9"/>
      <c r="W277" s="9" t="s">
        <v>43</v>
      </c>
      <c r="X277" s="9" t="s">
        <v>43</v>
      </c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</row>
    <row r="278">
      <c r="A278" s="13">
        <f t="shared" si="103"/>
        <v>277</v>
      </c>
      <c r="B278" s="9">
        <v>1291.0</v>
      </c>
      <c r="C278" s="13"/>
      <c r="D278" s="13"/>
      <c r="E278" s="13"/>
      <c r="F278" s="18"/>
      <c r="G278" s="12"/>
      <c r="H278" s="10">
        <v>45819.0</v>
      </c>
      <c r="I278" s="12"/>
      <c r="J278" s="10">
        <v>45687.0</v>
      </c>
      <c r="K278" s="9" t="s">
        <v>31</v>
      </c>
      <c r="L278" s="39">
        <v>255.0</v>
      </c>
      <c r="M278" s="9">
        <v>103.0</v>
      </c>
      <c r="N278" s="9">
        <v>1114.0</v>
      </c>
      <c r="O278" s="9">
        <f t="shared" si="100"/>
        <v>0</v>
      </c>
      <c r="P278" s="9">
        <f t="shared" si="5"/>
        <v>0</v>
      </c>
      <c r="Q278" s="20">
        <f t="shared" si="101"/>
        <v>46012</v>
      </c>
      <c r="R278" s="9" t="str">
        <f t="shared" si="102"/>
        <v>#REF!</v>
      </c>
      <c r="S278" s="19" t="s">
        <v>37</v>
      </c>
      <c r="T278" s="9"/>
      <c r="U278" s="9"/>
      <c r="V278" s="9"/>
      <c r="W278" s="9" t="s">
        <v>43</v>
      </c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</row>
    <row r="279">
      <c r="A279" s="13">
        <f t="shared" si="103"/>
        <v>278</v>
      </c>
      <c r="B279" s="9">
        <v>1292.0</v>
      </c>
      <c r="C279" s="13"/>
      <c r="F279" s="18"/>
      <c r="G279" s="12"/>
      <c r="H279" s="18"/>
      <c r="I279" s="12"/>
      <c r="J279" s="10">
        <v>45688.0</v>
      </c>
      <c r="K279" s="9" t="s">
        <v>49</v>
      </c>
      <c r="L279" s="39">
        <v>255.0</v>
      </c>
      <c r="M279" s="13">
        <f t="shared" ref="M279:M291" si="104">XLOOKUP(N279,B:B,A:A)</f>
        <v>113</v>
      </c>
      <c r="N279" s="9">
        <v>1120.0</v>
      </c>
      <c r="O279" s="9">
        <f t="shared" si="100"/>
        <v>0</v>
      </c>
      <c r="P279" s="9">
        <f t="shared" si="5"/>
        <v>0</v>
      </c>
      <c r="Q279" s="20">
        <f t="shared" si="101"/>
        <v>46012</v>
      </c>
      <c r="R279" s="9" t="str">
        <f t="shared" si="102"/>
        <v>X</v>
      </c>
      <c r="S279" s="19" t="s">
        <v>203</v>
      </c>
      <c r="Z279" s="13"/>
      <c r="AA279" s="13"/>
      <c r="AF279" s="13"/>
      <c r="AG279" s="13"/>
      <c r="AH279" s="13"/>
    </row>
    <row r="280">
      <c r="A280" s="13">
        <f t="shared" si="103"/>
        <v>279</v>
      </c>
      <c r="B280" s="9">
        <v>1293.0</v>
      </c>
      <c r="C280" s="13"/>
      <c r="D280" s="13"/>
      <c r="E280" s="13"/>
      <c r="F280" s="18"/>
      <c r="G280" s="12"/>
      <c r="H280" s="10">
        <v>45819.0</v>
      </c>
      <c r="I280" s="12"/>
      <c r="J280" s="10">
        <v>45688.0</v>
      </c>
      <c r="K280" s="9" t="s">
        <v>31</v>
      </c>
      <c r="L280" s="39">
        <v>255.0</v>
      </c>
      <c r="M280" s="13">
        <f t="shared" si="104"/>
        <v>150</v>
      </c>
      <c r="N280" s="9">
        <v>1188.0</v>
      </c>
      <c r="O280" s="9">
        <f t="shared" si="100"/>
        <v>0</v>
      </c>
      <c r="P280" s="9">
        <f t="shared" si="5"/>
        <v>0</v>
      </c>
      <c r="Q280" s="20">
        <f t="shared" si="101"/>
        <v>46012</v>
      </c>
      <c r="R280" s="9" t="str">
        <f t="shared" si="102"/>
        <v>#REF!</v>
      </c>
      <c r="S280" s="19" t="s">
        <v>204</v>
      </c>
      <c r="T280" s="9"/>
      <c r="U280" s="9"/>
      <c r="V280" s="9"/>
      <c r="W280" s="9" t="s">
        <v>43</v>
      </c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</row>
    <row r="281">
      <c r="A281" s="13">
        <f t="shared" si="103"/>
        <v>280</v>
      </c>
      <c r="B281" s="9">
        <v>1294.0</v>
      </c>
      <c r="C281" s="13"/>
      <c r="D281" s="13"/>
      <c r="E281" s="13"/>
      <c r="F281" s="18"/>
      <c r="G281" s="12"/>
      <c r="H281" s="14">
        <v>45787.0</v>
      </c>
      <c r="I281" s="12"/>
      <c r="J281" s="10">
        <v>45688.0</v>
      </c>
      <c r="K281" s="9" t="s">
        <v>49</v>
      </c>
      <c r="L281" s="39">
        <v>255.0</v>
      </c>
      <c r="M281" s="13">
        <f t="shared" si="104"/>
        <v>150</v>
      </c>
      <c r="N281" s="9">
        <v>1188.0</v>
      </c>
      <c r="O281" s="9">
        <f t="shared" si="100"/>
        <v>0</v>
      </c>
      <c r="P281" s="9">
        <f t="shared" si="5"/>
        <v>0</v>
      </c>
      <c r="Q281" s="20">
        <f t="shared" si="101"/>
        <v>46012</v>
      </c>
      <c r="R281" s="9" t="str">
        <f t="shared" si="102"/>
        <v>X</v>
      </c>
      <c r="S281" s="19" t="s">
        <v>204</v>
      </c>
      <c r="T281" s="9"/>
      <c r="U281" s="9"/>
      <c r="V281" s="9" t="s">
        <v>43</v>
      </c>
      <c r="W281" s="9" t="s">
        <v>43</v>
      </c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</row>
    <row r="282">
      <c r="A282" s="13">
        <f t="shared" si="103"/>
        <v>281</v>
      </c>
      <c r="B282" s="9">
        <v>1295.0</v>
      </c>
      <c r="C282" s="13"/>
      <c r="D282" s="13"/>
      <c r="E282" s="13"/>
      <c r="F282" s="18"/>
      <c r="G282" s="12"/>
      <c r="H282" s="14">
        <v>45787.0</v>
      </c>
      <c r="I282" s="12"/>
      <c r="J282" s="10">
        <v>45688.0</v>
      </c>
      <c r="K282" s="9" t="s">
        <v>49</v>
      </c>
      <c r="L282" s="39">
        <v>255.0</v>
      </c>
      <c r="M282" s="13">
        <f t="shared" si="104"/>
        <v>132</v>
      </c>
      <c r="N282" s="9">
        <v>1177.0</v>
      </c>
      <c r="O282" s="9">
        <f t="shared" si="100"/>
        <v>0</v>
      </c>
      <c r="P282" s="9">
        <f t="shared" si="5"/>
        <v>0</v>
      </c>
      <c r="Q282" s="20">
        <f t="shared" si="101"/>
        <v>46012</v>
      </c>
      <c r="R282" s="9" t="str">
        <f t="shared" si="102"/>
        <v>X</v>
      </c>
      <c r="S282" s="28"/>
      <c r="T282" s="9"/>
      <c r="U282" s="9"/>
      <c r="V282" s="9" t="s">
        <v>43</v>
      </c>
      <c r="W282" s="9" t="s">
        <v>94</v>
      </c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</row>
    <row r="283">
      <c r="A283" s="13">
        <f t="shared" si="103"/>
        <v>282</v>
      </c>
      <c r="B283" s="9">
        <v>1296.0</v>
      </c>
      <c r="C283" s="13"/>
      <c r="D283" s="13"/>
      <c r="E283" s="13"/>
      <c r="F283" s="18"/>
      <c r="G283" s="12"/>
      <c r="H283" s="10">
        <v>45845.0</v>
      </c>
      <c r="I283" s="12"/>
      <c r="J283" s="10">
        <v>45688.0</v>
      </c>
      <c r="K283" s="9" t="s">
        <v>49</v>
      </c>
      <c r="L283" s="39">
        <v>255.0</v>
      </c>
      <c r="M283" s="13">
        <f t="shared" si="104"/>
        <v>132</v>
      </c>
      <c r="N283" s="9">
        <v>1177.0</v>
      </c>
      <c r="O283" s="9">
        <f t="shared" si="100"/>
        <v>0</v>
      </c>
      <c r="P283" s="9">
        <f t="shared" si="5"/>
        <v>0</v>
      </c>
      <c r="Q283" s="20">
        <f t="shared" si="101"/>
        <v>46012</v>
      </c>
      <c r="R283" s="9" t="str">
        <f t="shared" si="102"/>
        <v>X</v>
      </c>
      <c r="S283" s="28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</row>
    <row r="284">
      <c r="A284" s="13">
        <f t="shared" si="103"/>
        <v>283</v>
      </c>
      <c r="B284" s="9">
        <v>1324.0</v>
      </c>
      <c r="C284" s="13"/>
      <c r="D284" s="13"/>
      <c r="E284" s="13"/>
      <c r="F284" s="18"/>
      <c r="G284" s="12"/>
      <c r="H284" s="10">
        <v>45714.0</v>
      </c>
      <c r="I284" s="12"/>
      <c r="J284" s="10">
        <v>45690.0</v>
      </c>
      <c r="K284" s="9" t="s">
        <v>49</v>
      </c>
      <c r="L284" s="39">
        <v>255.0</v>
      </c>
      <c r="M284" s="13">
        <f t="shared" si="104"/>
        <v>253</v>
      </c>
      <c r="N284" s="9">
        <v>1133.0</v>
      </c>
      <c r="O284" s="9">
        <f t="shared" si="100"/>
        <v>0</v>
      </c>
      <c r="P284" s="9">
        <f t="shared" si="5"/>
        <v>0</v>
      </c>
      <c r="Q284" s="20">
        <f t="shared" si="101"/>
        <v>46012</v>
      </c>
      <c r="R284" s="9" t="str">
        <f t="shared" si="102"/>
        <v>X</v>
      </c>
      <c r="S284" s="9" t="s">
        <v>205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</row>
    <row r="285">
      <c r="A285" s="13">
        <f t="shared" si="103"/>
        <v>284</v>
      </c>
      <c r="B285" s="9">
        <v>1325.0</v>
      </c>
      <c r="C285" s="13"/>
      <c r="D285" s="13"/>
      <c r="E285" s="13"/>
      <c r="F285" s="18"/>
      <c r="G285" s="12"/>
      <c r="H285" s="10">
        <v>45845.0</v>
      </c>
      <c r="I285" s="12"/>
      <c r="J285" s="10">
        <v>45690.0</v>
      </c>
      <c r="K285" s="9" t="s">
        <v>31</v>
      </c>
      <c r="L285" s="39">
        <v>255.0</v>
      </c>
      <c r="M285" s="13">
        <f t="shared" si="104"/>
        <v>253</v>
      </c>
      <c r="N285" s="9">
        <v>1133.0</v>
      </c>
      <c r="O285" s="9">
        <f t="shared" si="100"/>
        <v>0</v>
      </c>
      <c r="P285" s="9">
        <f t="shared" si="5"/>
        <v>0</v>
      </c>
      <c r="Q285" s="20">
        <f t="shared" si="101"/>
        <v>46012</v>
      </c>
      <c r="R285" s="9" t="str">
        <f t="shared" si="102"/>
        <v>#REF!</v>
      </c>
      <c r="S285" s="28"/>
      <c r="T285" s="9"/>
      <c r="U285" s="9" t="s">
        <v>43</v>
      </c>
      <c r="V285" s="9"/>
      <c r="W285" s="9" t="s">
        <v>43</v>
      </c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</row>
    <row r="286">
      <c r="A286" s="13">
        <f t="shared" si="103"/>
        <v>285</v>
      </c>
      <c r="B286" s="9">
        <v>1326.0</v>
      </c>
      <c r="C286" s="13"/>
      <c r="D286" s="13"/>
      <c r="E286" s="13"/>
      <c r="F286" s="18"/>
      <c r="G286" s="12"/>
      <c r="H286" s="10">
        <v>45819.0</v>
      </c>
      <c r="I286" s="12"/>
      <c r="J286" s="10">
        <v>45690.0</v>
      </c>
      <c r="K286" s="9" t="s">
        <v>31</v>
      </c>
      <c r="L286" s="39">
        <v>255.0</v>
      </c>
      <c r="M286" s="13">
        <f t="shared" si="104"/>
        <v>253</v>
      </c>
      <c r="N286" s="9">
        <v>1133.0</v>
      </c>
      <c r="O286" s="9">
        <f t="shared" si="100"/>
        <v>0</v>
      </c>
      <c r="P286" s="9">
        <f t="shared" si="5"/>
        <v>0</v>
      </c>
      <c r="Q286" s="20">
        <f t="shared" si="101"/>
        <v>46012</v>
      </c>
      <c r="R286" s="9" t="str">
        <f t="shared" si="102"/>
        <v>#REF!</v>
      </c>
      <c r="S286" s="28"/>
      <c r="T286" s="9"/>
      <c r="U286" s="9"/>
      <c r="V286" s="9"/>
      <c r="W286" s="9" t="s">
        <v>43</v>
      </c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</row>
    <row r="287">
      <c r="A287" s="13">
        <f t="shared" si="103"/>
        <v>286</v>
      </c>
      <c r="B287" s="9">
        <v>1297.0</v>
      </c>
      <c r="C287" s="13"/>
      <c r="D287" s="13"/>
      <c r="E287" s="13"/>
      <c r="F287" s="18"/>
      <c r="G287" s="12"/>
      <c r="H287" s="10">
        <v>45819.0</v>
      </c>
      <c r="I287" s="12"/>
      <c r="J287" s="10">
        <v>45691.0</v>
      </c>
      <c r="K287" s="9" t="s">
        <v>31</v>
      </c>
      <c r="L287" s="39">
        <v>255.0</v>
      </c>
      <c r="M287" s="13">
        <f t="shared" si="104"/>
        <v>145</v>
      </c>
      <c r="N287" s="9">
        <v>1161.0</v>
      </c>
      <c r="O287" s="9">
        <f t="shared" si="100"/>
        <v>0</v>
      </c>
      <c r="P287" s="9">
        <f t="shared" si="5"/>
        <v>0</v>
      </c>
      <c r="Q287" s="20">
        <f t="shared" si="101"/>
        <v>46012</v>
      </c>
      <c r="R287" s="9" t="str">
        <f t="shared" si="102"/>
        <v>#REF!</v>
      </c>
      <c r="S287" s="28"/>
      <c r="T287" s="9"/>
      <c r="U287" s="9"/>
      <c r="V287" s="9"/>
      <c r="W287" s="9" t="s">
        <v>43</v>
      </c>
      <c r="X287" s="9" t="s">
        <v>43</v>
      </c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</row>
    <row r="288">
      <c r="A288" s="13">
        <f t="shared" si="103"/>
        <v>287</v>
      </c>
      <c r="B288" s="9">
        <v>1298.0</v>
      </c>
      <c r="C288" s="13"/>
      <c r="D288" s="13"/>
      <c r="E288" s="13"/>
      <c r="F288" s="18"/>
      <c r="G288" s="12"/>
      <c r="H288" s="14">
        <v>45787.0</v>
      </c>
      <c r="I288" s="12"/>
      <c r="J288" s="10">
        <v>45691.0</v>
      </c>
      <c r="K288" s="9" t="s">
        <v>49</v>
      </c>
      <c r="L288" s="39">
        <v>255.0</v>
      </c>
      <c r="M288" s="13">
        <f t="shared" si="104"/>
        <v>149</v>
      </c>
      <c r="N288" s="9">
        <v>1163.0</v>
      </c>
      <c r="O288" s="9">
        <f t="shared" si="100"/>
        <v>0</v>
      </c>
      <c r="P288" s="9">
        <f t="shared" si="5"/>
        <v>0</v>
      </c>
      <c r="Q288" s="20">
        <f t="shared" si="101"/>
        <v>46012</v>
      </c>
      <c r="R288" s="9" t="str">
        <f t="shared" si="102"/>
        <v>X</v>
      </c>
      <c r="S288" s="28"/>
      <c r="T288" s="9"/>
      <c r="U288" s="9"/>
      <c r="V288" s="9" t="s">
        <v>43</v>
      </c>
      <c r="W288" s="9" t="s">
        <v>43</v>
      </c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</row>
    <row r="289">
      <c r="A289" s="13">
        <f t="shared" si="103"/>
        <v>288</v>
      </c>
      <c r="B289" s="9">
        <v>1299.0</v>
      </c>
      <c r="C289" s="13"/>
      <c r="D289" s="13"/>
      <c r="E289" s="13"/>
      <c r="F289" s="18"/>
      <c r="G289" s="12"/>
      <c r="H289" s="14">
        <v>45787.0</v>
      </c>
      <c r="I289" s="12"/>
      <c r="J289" s="10">
        <v>45691.0</v>
      </c>
      <c r="K289" s="9" t="s">
        <v>49</v>
      </c>
      <c r="L289" s="39">
        <v>255.0</v>
      </c>
      <c r="M289" s="13">
        <f t="shared" si="104"/>
        <v>115</v>
      </c>
      <c r="N289" s="9">
        <v>1126.0</v>
      </c>
      <c r="O289" s="9">
        <f t="shared" si="100"/>
        <v>0</v>
      </c>
      <c r="P289" s="9">
        <f t="shared" si="5"/>
        <v>0</v>
      </c>
      <c r="Q289" s="20">
        <f t="shared" si="101"/>
        <v>46012</v>
      </c>
      <c r="R289" s="9" t="str">
        <f t="shared" si="102"/>
        <v>X</v>
      </c>
      <c r="S289" s="28"/>
      <c r="T289" s="9"/>
      <c r="U289" s="9"/>
      <c r="V289" s="9" t="s">
        <v>43</v>
      </c>
      <c r="W289" s="9" t="s">
        <v>43</v>
      </c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</row>
    <row r="290">
      <c r="A290" s="13">
        <f t="shared" si="103"/>
        <v>289</v>
      </c>
      <c r="B290" s="9">
        <v>1300.0</v>
      </c>
      <c r="C290" s="13"/>
      <c r="D290" s="13"/>
      <c r="E290" s="13"/>
      <c r="F290" s="18"/>
      <c r="G290" s="12"/>
      <c r="H290" s="10">
        <v>45819.0</v>
      </c>
      <c r="I290" s="12"/>
      <c r="J290" s="10">
        <v>45691.0</v>
      </c>
      <c r="K290" s="9" t="s">
        <v>31</v>
      </c>
      <c r="L290" s="39">
        <v>255.0</v>
      </c>
      <c r="M290" s="13">
        <f t="shared" si="104"/>
        <v>249</v>
      </c>
      <c r="N290" s="9">
        <v>1263.0</v>
      </c>
      <c r="O290" s="9">
        <f t="shared" si="100"/>
        <v>0</v>
      </c>
      <c r="P290" s="9">
        <f t="shared" si="5"/>
        <v>0</v>
      </c>
      <c r="Q290" s="20">
        <f t="shared" si="101"/>
        <v>46012</v>
      </c>
      <c r="R290" s="9" t="str">
        <f t="shared" si="102"/>
        <v>#REF!</v>
      </c>
      <c r="S290" s="28"/>
      <c r="T290" s="9"/>
      <c r="U290" s="9"/>
      <c r="V290" s="9"/>
      <c r="W290" s="9" t="s">
        <v>43</v>
      </c>
      <c r="X290" s="9" t="s">
        <v>43</v>
      </c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</row>
    <row r="291">
      <c r="A291" s="13">
        <f t="shared" si="103"/>
        <v>290</v>
      </c>
      <c r="B291" s="9">
        <v>1301.0</v>
      </c>
      <c r="C291" s="13"/>
      <c r="D291" s="13"/>
      <c r="E291" s="13"/>
      <c r="F291" s="18"/>
      <c r="G291" s="12"/>
      <c r="H291" s="10">
        <v>45845.0</v>
      </c>
      <c r="I291" s="12"/>
      <c r="J291" s="10">
        <v>45691.0</v>
      </c>
      <c r="K291" s="9" t="s">
        <v>49</v>
      </c>
      <c r="L291" s="39">
        <v>255.0</v>
      </c>
      <c r="M291" s="13">
        <f t="shared" si="104"/>
        <v>142</v>
      </c>
      <c r="N291" s="9">
        <v>1148.0</v>
      </c>
      <c r="O291" s="9">
        <f t="shared" si="100"/>
        <v>0</v>
      </c>
      <c r="P291" s="9">
        <f t="shared" si="5"/>
        <v>0</v>
      </c>
      <c r="Q291" s="20">
        <f t="shared" si="101"/>
        <v>46012</v>
      </c>
      <c r="R291" s="9" t="str">
        <f t="shared" si="102"/>
        <v>X</v>
      </c>
      <c r="S291" s="28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</row>
    <row r="292">
      <c r="A292" s="13">
        <f t="shared" si="103"/>
        <v>291</v>
      </c>
      <c r="B292" s="9">
        <v>1302.0</v>
      </c>
      <c r="C292" s="13"/>
      <c r="D292" s="13"/>
      <c r="E292" s="13"/>
      <c r="F292" s="18"/>
      <c r="G292" s="12"/>
      <c r="H292" s="10">
        <v>45819.0</v>
      </c>
      <c r="I292" s="12"/>
      <c r="J292" s="10">
        <v>45692.0</v>
      </c>
      <c r="K292" s="9" t="s">
        <v>31</v>
      </c>
      <c r="L292" s="39">
        <v>255.0</v>
      </c>
      <c r="M292" s="9">
        <v>21.0</v>
      </c>
      <c r="N292" s="13" t="str">
        <f t="array" ref="N292">xlookup(M292,A:A,B:B)</f>
        <v>000013</v>
      </c>
      <c r="O292" s="9">
        <f t="shared" si="100"/>
        <v>0</v>
      </c>
      <c r="P292" s="9">
        <f t="shared" si="5"/>
        <v>0</v>
      </c>
      <c r="Q292" s="20">
        <f t="shared" si="101"/>
        <v>46012</v>
      </c>
      <c r="R292" s="9" t="str">
        <f t="shared" si="102"/>
        <v>#REF!</v>
      </c>
      <c r="S292" s="28"/>
      <c r="T292" s="9"/>
      <c r="U292" s="9"/>
      <c r="V292" s="9"/>
      <c r="W292" s="9" t="s">
        <v>43</v>
      </c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</row>
    <row r="293">
      <c r="A293" s="13">
        <f t="shared" si="103"/>
        <v>292</v>
      </c>
      <c r="B293" s="9">
        <v>1303.0</v>
      </c>
      <c r="C293" s="13"/>
      <c r="D293" s="13"/>
      <c r="E293" s="13"/>
      <c r="F293" s="18"/>
      <c r="G293" s="12"/>
      <c r="H293" s="14">
        <v>45787.0</v>
      </c>
      <c r="I293" s="12"/>
      <c r="J293" s="10">
        <v>45691.0</v>
      </c>
      <c r="K293" s="9" t="s">
        <v>49</v>
      </c>
      <c r="L293" s="39">
        <v>255.0</v>
      </c>
      <c r="M293" s="13">
        <f t="shared" ref="M293:M363" si="105">XLOOKUP(N293,B:B,A:A)</f>
        <v>133</v>
      </c>
      <c r="N293" s="9">
        <v>1178.0</v>
      </c>
      <c r="O293" s="9">
        <f t="shared" si="100"/>
        <v>0</v>
      </c>
      <c r="P293" s="9">
        <f t="shared" si="5"/>
        <v>0</v>
      </c>
      <c r="Q293" s="20">
        <f t="shared" si="101"/>
        <v>46012</v>
      </c>
      <c r="R293" s="9" t="str">
        <f t="shared" si="102"/>
        <v>X</v>
      </c>
      <c r="S293" s="28"/>
      <c r="T293" s="9"/>
      <c r="U293" s="9"/>
      <c r="V293" s="9" t="s">
        <v>43</v>
      </c>
      <c r="W293" s="9" t="s">
        <v>43</v>
      </c>
      <c r="X293" s="9" t="s">
        <v>43</v>
      </c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</row>
    <row r="294">
      <c r="A294" s="13">
        <f t="shared" si="103"/>
        <v>293</v>
      </c>
      <c r="B294" s="9">
        <v>1304.0</v>
      </c>
      <c r="F294" s="18"/>
      <c r="G294" s="12"/>
      <c r="H294" s="18"/>
      <c r="I294" s="12"/>
      <c r="J294" s="10">
        <v>45691.0</v>
      </c>
      <c r="K294" s="9" t="s">
        <v>31</v>
      </c>
      <c r="L294" s="39">
        <v>255.0</v>
      </c>
      <c r="M294" s="13">
        <f t="shared" si="105"/>
        <v>133</v>
      </c>
      <c r="N294" s="9">
        <v>1178.0</v>
      </c>
      <c r="O294" s="9">
        <f t="shared" si="100"/>
        <v>0</v>
      </c>
      <c r="P294" s="9">
        <f t="shared" si="5"/>
        <v>0</v>
      </c>
      <c r="Q294" s="20">
        <f t="shared" si="101"/>
        <v>46012</v>
      </c>
      <c r="R294" s="9" t="str">
        <f t="shared" si="102"/>
        <v>#REF!</v>
      </c>
      <c r="S294" s="28"/>
      <c r="T294" s="9" t="s">
        <v>43</v>
      </c>
      <c r="U294" s="9"/>
      <c r="V294" s="9"/>
      <c r="W294" s="9" t="s">
        <v>43</v>
      </c>
      <c r="X294" s="9" t="s">
        <v>43</v>
      </c>
    </row>
    <row r="295">
      <c r="A295" s="13">
        <f t="shared" si="103"/>
        <v>294</v>
      </c>
      <c r="B295" s="9">
        <v>1330.0</v>
      </c>
      <c r="C295" s="13"/>
      <c r="D295" s="13"/>
      <c r="E295" s="13"/>
      <c r="F295" s="18"/>
      <c r="G295" s="12"/>
      <c r="H295" s="10">
        <v>45845.0</v>
      </c>
      <c r="I295" s="12"/>
      <c r="J295" s="10">
        <v>45691.0</v>
      </c>
      <c r="K295" s="9" t="s">
        <v>31</v>
      </c>
      <c r="L295" s="39">
        <v>255.0</v>
      </c>
      <c r="M295" s="13" t="str">
        <f t="shared" si="105"/>
        <v>#N/A</v>
      </c>
      <c r="N295" s="9">
        <v>1305.0</v>
      </c>
      <c r="O295" s="9">
        <f t="shared" si="100"/>
        <v>0</v>
      </c>
      <c r="P295" s="9">
        <f t="shared" si="5"/>
        <v>0</v>
      </c>
      <c r="Q295" s="20">
        <f t="shared" si="101"/>
        <v>46012</v>
      </c>
      <c r="R295" s="9" t="str">
        <f t="shared" si="102"/>
        <v>#REF!</v>
      </c>
      <c r="S295" s="19" t="s">
        <v>206</v>
      </c>
      <c r="T295" s="9"/>
      <c r="U295" s="9" t="s">
        <v>43</v>
      </c>
      <c r="V295" s="9"/>
      <c r="W295" s="9" t="s">
        <v>43</v>
      </c>
      <c r="X295" s="9" t="s">
        <v>43</v>
      </c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</row>
    <row r="296">
      <c r="A296" s="13">
        <f t="shared" si="103"/>
        <v>295</v>
      </c>
      <c r="B296" s="9">
        <v>1331.0</v>
      </c>
      <c r="C296" s="13"/>
      <c r="D296" s="13"/>
      <c r="E296" s="13"/>
      <c r="F296" s="18"/>
      <c r="G296" s="12"/>
      <c r="H296" s="10">
        <v>45734.0</v>
      </c>
      <c r="I296" s="12"/>
      <c r="J296" s="10">
        <v>45691.0</v>
      </c>
      <c r="K296" s="9" t="s">
        <v>49</v>
      </c>
      <c r="L296" s="39">
        <v>255.0</v>
      </c>
      <c r="M296" s="13" t="str">
        <f t="shared" si="105"/>
        <v>#N/A</v>
      </c>
      <c r="N296" s="9">
        <v>1305.0</v>
      </c>
      <c r="O296" s="9">
        <f t="shared" si="100"/>
        <v>0</v>
      </c>
      <c r="P296" s="9">
        <f t="shared" si="5"/>
        <v>0</v>
      </c>
      <c r="Q296" s="20">
        <f t="shared" si="101"/>
        <v>46012</v>
      </c>
      <c r="R296" s="9" t="str">
        <f t="shared" si="102"/>
        <v>X</v>
      </c>
      <c r="S296" s="9" t="s">
        <v>206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</row>
    <row r="297">
      <c r="A297" s="13">
        <f t="shared" si="103"/>
        <v>296</v>
      </c>
      <c r="B297" s="9">
        <v>1327.0</v>
      </c>
      <c r="C297" s="13"/>
      <c r="D297" s="13"/>
      <c r="E297" s="13"/>
      <c r="F297" s="18"/>
      <c r="G297" s="12"/>
      <c r="H297" s="10">
        <v>45845.0</v>
      </c>
      <c r="I297" s="12"/>
      <c r="J297" s="10">
        <v>45692.0</v>
      </c>
      <c r="K297" s="9" t="s">
        <v>31</v>
      </c>
      <c r="L297" s="39">
        <v>255.0</v>
      </c>
      <c r="M297" s="13">
        <f t="shared" si="105"/>
        <v>15</v>
      </c>
      <c r="N297" s="17" t="s">
        <v>61</v>
      </c>
      <c r="O297" s="9">
        <f t="shared" si="100"/>
        <v>0</v>
      </c>
      <c r="P297" s="9">
        <f t="shared" si="5"/>
        <v>0</v>
      </c>
      <c r="Q297" s="20">
        <f t="shared" si="101"/>
        <v>46012</v>
      </c>
      <c r="R297" s="9" t="str">
        <f t="shared" si="102"/>
        <v>#REF!</v>
      </c>
      <c r="S297" s="28"/>
      <c r="T297" s="9"/>
      <c r="U297" s="9" t="s">
        <v>43</v>
      </c>
      <c r="V297" s="9"/>
      <c r="W297" s="9" t="s">
        <v>43</v>
      </c>
      <c r="X297" s="9" t="s">
        <v>43</v>
      </c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</row>
    <row r="298">
      <c r="A298" s="13">
        <f t="shared" si="103"/>
        <v>297</v>
      </c>
      <c r="B298" s="9">
        <v>1328.0</v>
      </c>
      <c r="C298" s="13"/>
      <c r="D298" s="13"/>
      <c r="E298" s="13"/>
      <c r="F298" s="18"/>
      <c r="G298" s="12"/>
      <c r="H298" s="10">
        <v>45718.0</v>
      </c>
      <c r="I298" s="12"/>
      <c r="J298" s="10">
        <v>45692.0</v>
      </c>
      <c r="K298" s="9" t="s">
        <v>31</v>
      </c>
      <c r="L298" s="39">
        <v>255.0</v>
      </c>
      <c r="M298" s="13">
        <f t="shared" si="105"/>
        <v>15</v>
      </c>
      <c r="N298" s="17" t="s">
        <v>61</v>
      </c>
      <c r="O298" s="9">
        <f t="shared" si="100"/>
        <v>0</v>
      </c>
      <c r="P298" s="9">
        <f t="shared" si="5"/>
        <v>0</v>
      </c>
      <c r="Q298" s="20">
        <f t="shared" si="101"/>
        <v>46012</v>
      </c>
      <c r="R298" s="9" t="str">
        <f t="array" ref="R298">if("m"=K298,"X",if(or(countif(Cull!A:A,B:B)&gt;0,"X"= XLOOKUP(M:M,A:A,R:R)),"X",""))</f>
        <v>#REF!</v>
      </c>
      <c r="S298" s="9" t="s">
        <v>207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</row>
    <row r="299">
      <c r="A299" s="13">
        <f t="shared" si="103"/>
        <v>298</v>
      </c>
      <c r="B299" s="9">
        <v>1329.0</v>
      </c>
      <c r="C299" s="13"/>
      <c r="D299" s="13"/>
      <c r="E299" s="13"/>
      <c r="F299" s="18"/>
      <c r="G299" s="12"/>
      <c r="H299" s="14">
        <v>45787.0</v>
      </c>
      <c r="I299" s="12"/>
      <c r="J299" s="10">
        <v>45692.0</v>
      </c>
      <c r="K299" s="9" t="s">
        <v>49</v>
      </c>
      <c r="L299" s="39">
        <v>255.0</v>
      </c>
      <c r="M299" s="13">
        <f t="shared" si="105"/>
        <v>15</v>
      </c>
      <c r="N299" s="17" t="s">
        <v>61</v>
      </c>
      <c r="O299" s="9">
        <f t="shared" si="100"/>
        <v>0</v>
      </c>
      <c r="P299" s="9">
        <f t="shared" si="5"/>
        <v>0</v>
      </c>
      <c r="Q299" s="20">
        <f t="shared" si="101"/>
        <v>46012</v>
      </c>
      <c r="R299" s="9" t="str">
        <f t="shared" ref="R299:R310" si="106">if(if("m"=K299,true,countif(Cull!A:A,B:B)&gt;0),"X","")</f>
        <v>X</v>
      </c>
      <c r="S299" s="28"/>
      <c r="T299" s="9"/>
      <c r="U299" s="9"/>
      <c r="V299" s="9" t="s">
        <v>43</v>
      </c>
      <c r="W299" s="9" t="s">
        <v>43</v>
      </c>
      <c r="X299" s="9" t="s">
        <v>43</v>
      </c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</row>
    <row r="300">
      <c r="A300" s="13">
        <f t="shared" si="103"/>
        <v>299</v>
      </c>
      <c r="B300" s="9">
        <v>1306.0</v>
      </c>
      <c r="C300" s="13"/>
      <c r="D300" s="13"/>
      <c r="E300" s="13"/>
      <c r="F300" s="18"/>
      <c r="G300" s="12"/>
      <c r="H300" s="10">
        <v>45819.0</v>
      </c>
      <c r="I300" s="12"/>
      <c r="J300" s="10">
        <v>45693.0</v>
      </c>
      <c r="K300" s="9" t="s">
        <v>31</v>
      </c>
      <c r="L300" s="39">
        <v>255.0</v>
      </c>
      <c r="M300" s="13">
        <f t="shared" si="105"/>
        <v>163</v>
      </c>
      <c r="N300" s="9">
        <v>1191.0</v>
      </c>
      <c r="O300" s="9">
        <f t="shared" si="100"/>
        <v>0</v>
      </c>
      <c r="P300" s="9">
        <f t="shared" si="5"/>
        <v>0</v>
      </c>
      <c r="Q300" s="20">
        <f t="shared" si="101"/>
        <v>46012</v>
      </c>
      <c r="R300" s="9" t="str">
        <f t="shared" si="106"/>
        <v>#REF!</v>
      </c>
      <c r="S300" s="19" t="s">
        <v>208</v>
      </c>
      <c r="T300" s="9"/>
      <c r="U300" s="9"/>
      <c r="V300" s="9"/>
      <c r="W300" s="9" t="s">
        <v>43</v>
      </c>
      <c r="X300" s="9" t="s">
        <v>43</v>
      </c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</row>
    <row r="301">
      <c r="A301" s="13">
        <f t="shared" si="103"/>
        <v>300</v>
      </c>
      <c r="B301" s="9">
        <v>1307.0</v>
      </c>
      <c r="C301" s="13"/>
      <c r="D301" s="13"/>
      <c r="E301" s="13"/>
      <c r="F301" s="18"/>
      <c r="G301" s="12"/>
      <c r="H301" s="10">
        <v>45845.0</v>
      </c>
      <c r="I301" s="12"/>
      <c r="J301" s="10">
        <v>45693.0</v>
      </c>
      <c r="K301" s="9" t="s">
        <v>31</v>
      </c>
      <c r="L301" s="39">
        <v>255.0</v>
      </c>
      <c r="M301" s="13">
        <f t="shared" si="105"/>
        <v>163</v>
      </c>
      <c r="N301" s="9">
        <v>1191.0</v>
      </c>
      <c r="O301" s="9">
        <f t="shared" si="100"/>
        <v>0</v>
      </c>
      <c r="P301" s="9">
        <f t="shared" si="5"/>
        <v>0</v>
      </c>
      <c r="Q301" s="20">
        <f t="shared" si="101"/>
        <v>46012</v>
      </c>
      <c r="R301" s="9" t="str">
        <f t="shared" si="106"/>
        <v>#REF!</v>
      </c>
      <c r="S301" s="19" t="s">
        <v>37</v>
      </c>
      <c r="T301" s="9"/>
      <c r="U301" s="9" t="s">
        <v>43</v>
      </c>
      <c r="V301" s="9"/>
      <c r="W301" s="9" t="s">
        <v>43</v>
      </c>
      <c r="X301" s="9" t="s">
        <v>43</v>
      </c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</row>
    <row r="302">
      <c r="A302" s="13">
        <f t="shared" si="103"/>
        <v>301</v>
      </c>
      <c r="B302" s="9">
        <v>1308.0</v>
      </c>
      <c r="C302" s="13"/>
      <c r="D302" s="13"/>
      <c r="E302" s="13"/>
      <c r="F302" s="18"/>
      <c r="G302" s="12"/>
      <c r="H302" s="14">
        <v>45787.0</v>
      </c>
      <c r="I302" s="12"/>
      <c r="J302" s="10">
        <v>45693.0</v>
      </c>
      <c r="K302" s="9" t="s">
        <v>49</v>
      </c>
      <c r="L302" s="39">
        <v>255.0</v>
      </c>
      <c r="M302" s="13">
        <f t="shared" si="105"/>
        <v>158</v>
      </c>
      <c r="N302" s="9">
        <v>1198.0</v>
      </c>
      <c r="O302" s="9">
        <f t="shared" si="100"/>
        <v>0</v>
      </c>
      <c r="P302" s="9">
        <f t="shared" si="5"/>
        <v>0</v>
      </c>
      <c r="Q302" s="20">
        <f t="shared" si="101"/>
        <v>46012</v>
      </c>
      <c r="R302" s="9" t="str">
        <f t="shared" si="106"/>
        <v>X</v>
      </c>
      <c r="S302" s="19" t="s">
        <v>37</v>
      </c>
      <c r="T302" s="9"/>
      <c r="U302" s="9"/>
      <c r="V302" s="9" t="s">
        <v>43</v>
      </c>
      <c r="W302" s="9" t="s">
        <v>43</v>
      </c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</row>
    <row r="303">
      <c r="A303" s="13">
        <f t="shared" si="103"/>
        <v>302</v>
      </c>
      <c r="B303" s="9">
        <v>1309.0</v>
      </c>
      <c r="C303" s="13"/>
      <c r="D303" s="13"/>
      <c r="E303" s="13"/>
      <c r="F303" s="18"/>
      <c r="G303" s="12"/>
      <c r="H303" s="14">
        <v>45787.0</v>
      </c>
      <c r="I303" s="12"/>
      <c r="J303" s="10">
        <v>45693.0</v>
      </c>
      <c r="K303" s="9" t="s">
        <v>49</v>
      </c>
      <c r="L303" s="39">
        <v>255.0</v>
      </c>
      <c r="M303" s="13">
        <f t="shared" si="105"/>
        <v>151</v>
      </c>
      <c r="N303" s="9">
        <v>1189.0</v>
      </c>
      <c r="O303" s="9">
        <f t="shared" si="100"/>
        <v>0</v>
      </c>
      <c r="P303" s="9">
        <f t="shared" si="5"/>
        <v>0</v>
      </c>
      <c r="Q303" s="20">
        <f t="shared" si="101"/>
        <v>46012</v>
      </c>
      <c r="R303" s="9" t="str">
        <f t="shared" si="106"/>
        <v>X</v>
      </c>
      <c r="S303" s="19" t="s">
        <v>133</v>
      </c>
      <c r="T303" s="9"/>
      <c r="U303" s="9"/>
      <c r="V303" s="9" t="s">
        <v>43</v>
      </c>
      <c r="W303" s="9" t="s">
        <v>43</v>
      </c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</row>
    <row r="304">
      <c r="A304" s="13">
        <f t="shared" si="103"/>
        <v>303</v>
      </c>
      <c r="B304" s="9">
        <v>1310.0</v>
      </c>
      <c r="C304" s="13"/>
      <c r="D304" s="13"/>
      <c r="E304" s="13"/>
      <c r="F304" s="18"/>
      <c r="G304" s="12"/>
      <c r="H304" s="10">
        <v>45819.0</v>
      </c>
      <c r="I304" s="12"/>
      <c r="J304" s="10">
        <v>45693.0</v>
      </c>
      <c r="K304" s="9" t="s">
        <v>31</v>
      </c>
      <c r="L304" s="39">
        <v>255.0</v>
      </c>
      <c r="M304" s="13">
        <f t="shared" si="105"/>
        <v>120</v>
      </c>
      <c r="N304" s="9">
        <v>1131.0</v>
      </c>
      <c r="O304" s="9">
        <f t="shared" si="100"/>
        <v>0</v>
      </c>
      <c r="P304" s="9">
        <f t="shared" si="5"/>
        <v>0</v>
      </c>
      <c r="Q304" s="20">
        <f t="shared" si="101"/>
        <v>46012</v>
      </c>
      <c r="R304" s="9" t="str">
        <f t="shared" si="106"/>
        <v>#REF!</v>
      </c>
      <c r="S304" s="19" t="s">
        <v>133</v>
      </c>
      <c r="T304" s="9"/>
      <c r="U304" s="9"/>
      <c r="V304" s="9"/>
      <c r="W304" s="9" t="s">
        <v>43</v>
      </c>
      <c r="X304" s="9" t="s">
        <v>43</v>
      </c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</row>
    <row r="305">
      <c r="A305" s="13">
        <f t="shared" si="103"/>
        <v>304</v>
      </c>
      <c r="B305" s="9">
        <v>1311.0</v>
      </c>
      <c r="C305" s="13"/>
      <c r="D305" s="13"/>
      <c r="E305" s="13"/>
      <c r="F305" s="18"/>
      <c r="G305" s="12"/>
      <c r="H305" s="10">
        <v>45810.0</v>
      </c>
      <c r="I305" s="12"/>
      <c r="J305" s="10">
        <v>45693.0</v>
      </c>
      <c r="K305" s="9" t="s">
        <v>49</v>
      </c>
      <c r="L305" s="39">
        <v>255.0</v>
      </c>
      <c r="M305" s="13">
        <f t="shared" si="105"/>
        <v>19</v>
      </c>
      <c r="N305" s="17" t="s">
        <v>67</v>
      </c>
      <c r="O305" s="9">
        <f t="shared" si="100"/>
        <v>0</v>
      </c>
      <c r="P305" s="9">
        <f t="shared" si="5"/>
        <v>0</v>
      </c>
      <c r="Q305" s="20">
        <f t="shared" si="101"/>
        <v>46012</v>
      </c>
      <c r="R305" s="9" t="str">
        <f t="shared" si="106"/>
        <v>X</v>
      </c>
      <c r="S305" s="19" t="s">
        <v>37</v>
      </c>
      <c r="T305" s="9"/>
      <c r="U305" s="9"/>
      <c r="V305" s="9"/>
      <c r="W305" s="9" t="s">
        <v>43</v>
      </c>
      <c r="X305" s="9" t="s">
        <v>43</v>
      </c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</row>
    <row r="306">
      <c r="A306" s="13">
        <f t="shared" si="103"/>
        <v>305</v>
      </c>
      <c r="B306" s="9">
        <v>1312.0</v>
      </c>
      <c r="C306" s="13"/>
      <c r="D306" s="13"/>
      <c r="E306" s="13"/>
      <c r="F306" s="18"/>
      <c r="G306" s="12"/>
      <c r="H306" s="10">
        <v>45810.0</v>
      </c>
      <c r="I306" s="12"/>
      <c r="J306" s="10">
        <v>45693.0</v>
      </c>
      <c r="K306" s="9" t="s">
        <v>49</v>
      </c>
      <c r="L306" s="39">
        <v>255.0</v>
      </c>
      <c r="M306" s="13">
        <f t="shared" si="105"/>
        <v>19</v>
      </c>
      <c r="N306" s="17" t="s">
        <v>67</v>
      </c>
      <c r="O306" s="9">
        <f t="shared" si="100"/>
        <v>0</v>
      </c>
      <c r="P306" s="9">
        <f t="shared" si="5"/>
        <v>0</v>
      </c>
      <c r="Q306" s="20">
        <f t="shared" si="101"/>
        <v>46012</v>
      </c>
      <c r="R306" s="9" t="str">
        <f t="shared" si="106"/>
        <v>X</v>
      </c>
      <c r="S306" s="19" t="s">
        <v>166</v>
      </c>
      <c r="T306" s="9"/>
      <c r="U306" s="9"/>
      <c r="V306" s="9"/>
      <c r="W306" s="9" t="s">
        <v>43</v>
      </c>
      <c r="X306" s="9" t="s">
        <v>43</v>
      </c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</row>
    <row r="307">
      <c r="A307" s="13">
        <f t="shared" si="103"/>
        <v>306</v>
      </c>
      <c r="B307" s="9">
        <v>1313.0</v>
      </c>
      <c r="F307" s="18"/>
      <c r="G307" s="12"/>
      <c r="H307" s="18"/>
      <c r="I307" s="12"/>
      <c r="J307" s="31">
        <v>45694.0</v>
      </c>
      <c r="K307" s="9" t="s">
        <v>31</v>
      </c>
      <c r="L307" s="39">
        <v>255.0</v>
      </c>
      <c r="M307" s="13">
        <f t="shared" si="105"/>
        <v>140</v>
      </c>
      <c r="N307" s="9">
        <v>1150.0</v>
      </c>
      <c r="O307" s="9">
        <f t="shared" si="100"/>
        <v>0</v>
      </c>
      <c r="P307" s="9">
        <f t="shared" si="5"/>
        <v>0</v>
      </c>
      <c r="Q307" s="20">
        <f t="shared" si="101"/>
        <v>46012</v>
      </c>
      <c r="R307" s="9" t="str">
        <f t="shared" si="106"/>
        <v>#REF!</v>
      </c>
      <c r="S307" s="19" t="s">
        <v>37</v>
      </c>
      <c r="T307" s="9" t="s">
        <v>43</v>
      </c>
      <c r="U307" s="9"/>
      <c r="V307" s="9"/>
      <c r="W307" s="9" t="s">
        <v>43</v>
      </c>
    </row>
    <row r="308">
      <c r="A308" s="13">
        <f t="shared" si="103"/>
        <v>307</v>
      </c>
      <c r="B308" s="9">
        <v>1314.0</v>
      </c>
      <c r="C308" s="13"/>
      <c r="D308" s="13"/>
      <c r="E308" s="13"/>
      <c r="F308" s="18"/>
      <c r="G308" s="12"/>
      <c r="H308" s="10">
        <v>45819.0</v>
      </c>
      <c r="I308" s="12"/>
      <c r="J308" s="31">
        <v>45694.0</v>
      </c>
      <c r="K308" s="9" t="s">
        <v>31</v>
      </c>
      <c r="L308" s="39">
        <v>255.0</v>
      </c>
      <c r="M308" s="13">
        <f t="shared" si="105"/>
        <v>246</v>
      </c>
      <c r="N308" s="9">
        <v>1174.0</v>
      </c>
      <c r="O308" s="9">
        <f t="shared" si="100"/>
        <v>0</v>
      </c>
      <c r="P308" s="9">
        <f t="shared" si="5"/>
        <v>0</v>
      </c>
      <c r="Q308" s="20">
        <f t="shared" si="101"/>
        <v>46012</v>
      </c>
      <c r="R308" s="9" t="str">
        <f t="shared" si="106"/>
        <v>#REF!</v>
      </c>
      <c r="S308" s="28"/>
      <c r="T308" s="9"/>
      <c r="U308" s="9"/>
      <c r="V308" s="9"/>
      <c r="W308" s="9" t="s">
        <v>43</v>
      </c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</row>
    <row r="309">
      <c r="A309" s="13">
        <f t="shared" si="103"/>
        <v>308</v>
      </c>
      <c r="B309" s="9">
        <v>1315.0</v>
      </c>
      <c r="C309" s="13"/>
      <c r="D309" s="13"/>
      <c r="E309" s="13"/>
      <c r="F309" s="18"/>
      <c r="G309" s="12"/>
      <c r="H309" s="10">
        <v>45845.0</v>
      </c>
      <c r="I309" s="12"/>
      <c r="J309" s="31">
        <v>45694.0</v>
      </c>
      <c r="K309" s="9" t="s">
        <v>31</v>
      </c>
      <c r="L309" s="39">
        <v>255.0</v>
      </c>
      <c r="M309" s="13">
        <f t="shared" si="105"/>
        <v>251</v>
      </c>
      <c r="N309" s="9">
        <v>1266.0</v>
      </c>
      <c r="O309" s="9">
        <f t="shared" si="100"/>
        <v>0</v>
      </c>
      <c r="P309" s="9">
        <f t="shared" si="5"/>
        <v>0</v>
      </c>
      <c r="Q309" s="20">
        <f t="shared" si="101"/>
        <v>46012</v>
      </c>
      <c r="R309" s="9" t="str">
        <f t="shared" si="106"/>
        <v>#REF!</v>
      </c>
      <c r="S309" s="28"/>
      <c r="T309" s="9"/>
      <c r="U309" s="9" t="s">
        <v>43</v>
      </c>
      <c r="V309" s="9"/>
      <c r="W309" s="9" t="s">
        <v>43</v>
      </c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</row>
    <row r="310">
      <c r="A310" s="13">
        <f t="shared" si="103"/>
        <v>309</v>
      </c>
      <c r="B310" s="9">
        <v>1320.0</v>
      </c>
      <c r="F310" s="18"/>
      <c r="G310" s="12"/>
      <c r="H310" s="18"/>
      <c r="I310" s="12"/>
      <c r="J310" s="31">
        <v>45694.0</v>
      </c>
      <c r="K310" s="9" t="s">
        <v>31</v>
      </c>
      <c r="L310" s="39">
        <v>255.0</v>
      </c>
      <c r="M310" s="13">
        <f t="shared" si="105"/>
        <v>33</v>
      </c>
      <c r="N310" s="9">
        <v>1118.0</v>
      </c>
      <c r="O310" s="9">
        <f t="shared" si="100"/>
        <v>0</v>
      </c>
      <c r="P310" s="9">
        <f t="shared" si="5"/>
        <v>0</v>
      </c>
      <c r="Q310" s="20">
        <f t="shared" si="101"/>
        <v>46012</v>
      </c>
      <c r="R310" s="9" t="str">
        <f t="shared" si="106"/>
        <v>#REF!</v>
      </c>
      <c r="S310" s="19" t="s">
        <v>209</v>
      </c>
      <c r="T310" s="9" t="s">
        <v>43</v>
      </c>
      <c r="U310" s="9"/>
      <c r="V310" s="9"/>
      <c r="W310" s="9" t="s">
        <v>43</v>
      </c>
      <c r="X310" s="9" t="s">
        <v>43</v>
      </c>
    </row>
    <row r="311">
      <c r="A311" s="13">
        <f t="shared" si="103"/>
        <v>310</v>
      </c>
      <c r="B311" s="13"/>
      <c r="C311" s="13"/>
      <c r="D311" s="13"/>
      <c r="E311" s="13"/>
      <c r="F311" s="18"/>
      <c r="G311" s="12"/>
      <c r="H311" s="31">
        <v>45694.0</v>
      </c>
      <c r="I311" s="12"/>
      <c r="J311" s="31">
        <v>45694.0</v>
      </c>
      <c r="K311" s="13"/>
      <c r="L311" s="13"/>
      <c r="M311" s="13">
        <f t="shared" si="105"/>
        <v>33</v>
      </c>
      <c r="N311" s="9">
        <v>1118.0</v>
      </c>
      <c r="O311" s="9">
        <f t="shared" si="100"/>
        <v>0</v>
      </c>
      <c r="P311" s="9">
        <f t="shared" si="5"/>
        <v>0</v>
      </c>
      <c r="Q311" s="9"/>
      <c r="R311" s="9" t="str">
        <f t="shared" ref="R311:R312" si="107">if("m"=K311,"X",if(or(countif(Cull!A:A,B:B)&gt;0,"X"= XLOOKUP(M:M,A:A,R:R)),"X",""))</f>
        <v>#REF!</v>
      </c>
      <c r="S311" s="9" t="s">
        <v>210</v>
      </c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</row>
    <row r="312">
      <c r="A312" s="13">
        <f t="shared" si="103"/>
        <v>311</v>
      </c>
      <c r="B312" s="13"/>
      <c r="C312" s="13"/>
      <c r="D312" s="13"/>
      <c r="E312" s="13"/>
      <c r="F312" s="18"/>
      <c r="G312" s="12"/>
      <c r="H312" s="31">
        <v>45695.0</v>
      </c>
      <c r="I312" s="12"/>
      <c r="J312" s="31">
        <v>45695.0</v>
      </c>
      <c r="K312" s="13"/>
      <c r="L312" s="13"/>
      <c r="M312" s="13">
        <f t="shared" si="105"/>
        <v>233</v>
      </c>
      <c r="N312" s="9">
        <v>1138.0</v>
      </c>
      <c r="O312" s="9">
        <f t="shared" si="100"/>
        <v>0</v>
      </c>
      <c r="P312" s="9">
        <f t="shared" si="5"/>
        <v>0</v>
      </c>
      <c r="Q312" s="9"/>
      <c r="R312" s="9" t="str">
        <f t="shared" si="107"/>
        <v>#REF!</v>
      </c>
      <c r="S312" s="9" t="s">
        <v>127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</row>
    <row r="313">
      <c r="A313" s="13">
        <f t="shared" si="103"/>
        <v>312</v>
      </c>
      <c r="B313" s="9">
        <v>1316.0</v>
      </c>
      <c r="C313" s="13"/>
      <c r="D313" s="13"/>
      <c r="E313" s="13"/>
      <c r="F313" s="18"/>
      <c r="G313" s="12"/>
      <c r="H313" s="14">
        <v>45787.0</v>
      </c>
      <c r="I313" s="12"/>
      <c r="J313" s="31">
        <v>45695.0</v>
      </c>
      <c r="K313" s="9" t="s">
        <v>49</v>
      </c>
      <c r="L313" s="39">
        <v>255.0</v>
      </c>
      <c r="M313" s="13">
        <f t="shared" si="105"/>
        <v>233</v>
      </c>
      <c r="N313" s="9">
        <v>1138.0</v>
      </c>
      <c r="O313" s="9">
        <f t="shared" si="100"/>
        <v>0</v>
      </c>
      <c r="P313" s="9">
        <f t="shared" si="5"/>
        <v>0</v>
      </c>
      <c r="Q313" s="20">
        <f t="shared" ref="Q313:Q354" si="108">today()-xlookup(A313,M:M,J:J,"",0,-1)</f>
        <v>46012</v>
      </c>
      <c r="R313" s="9" t="str">
        <f t="shared" ref="R313:R317" si="109">if(if("m"=K313,true,countif(Cull!A:A,B:B)&gt;0),"X","")</f>
        <v>X</v>
      </c>
      <c r="S313" s="28"/>
      <c r="T313" s="9"/>
      <c r="U313" s="9"/>
      <c r="V313" s="9" t="s">
        <v>43</v>
      </c>
      <c r="W313" s="9" t="s">
        <v>43</v>
      </c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</row>
    <row r="314">
      <c r="A314" s="13">
        <f t="shared" si="103"/>
        <v>313</v>
      </c>
      <c r="B314" s="9">
        <v>1317.0</v>
      </c>
      <c r="C314" s="13"/>
      <c r="D314" s="13"/>
      <c r="E314" s="13"/>
      <c r="F314" s="18"/>
      <c r="G314" s="12"/>
      <c r="H314" s="10">
        <v>45845.0</v>
      </c>
      <c r="I314" s="12"/>
      <c r="J314" s="31">
        <v>45695.0</v>
      </c>
      <c r="K314" s="9" t="s">
        <v>31</v>
      </c>
      <c r="L314" s="39">
        <v>255.0</v>
      </c>
      <c r="M314" s="13">
        <f t="shared" si="105"/>
        <v>245</v>
      </c>
      <c r="N314" s="9">
        <v>1173.0</v>
      </c>
      <c r="O314" s="9">
        <f t="shared" si="100"/>
        <v>0</v>
      </c>
      <c r="P314" s="9">
        <f t="shared" si="5"/>
        <v>0</v>
      </c>
      <c r="Q314" s="20">
        <f t="shared" si="108"/>
        <v>46012</v>
      </c>
      <c r="R314" s="9" t="str">
        <f t="shared" si="109"/>
        <v>#REF!</v>
      </c>
      <c r="S314" s="28"/>
      <c r="T314" s="9"/>
      <c r="U314" s="9" t="s">
        <v>43</v>
      </c>
      <c r="V314" s="9"/>
      <c r="W314" s="9" t="s">
        <v>43</v>
      </c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</row>
    <row r="315">
      <c r="A315" s="13">
        <f t="shared" si="103"/>
        <v>314</v>
      </c>
      <c r="B315" s="9">
        <v>1318.0</v>
      </c>
      <c r="C315" s="13"/>
      <c r="D315" s="13"/>
      <c r="E315" s="13"/>
      <c r="F315" s="18"/>
      <c r="G315" s="12"/>
      <c r="H315" s="14">
        <v>45787.0</v>
      </c>
      <c r="I315" s="12"/>
      <c r="J315" s="31">
        <v>45695.0</v>
      </c>
      <c r="K315" s="9" t="s">
        <v>49</v>
      </c>
      <c r="L315" s="39">
        <v>255.0</v>
      </c>
      <c r="M315" s="13">
        <f t="shared" si="105"/>
        <v>22</v>
      </c>
      <c r="N315" s="17" t="s">
        <v>71</v>
      </c>
      <c r="O315" s="9">
        <f t="shared" si="100"/>
        <v>0</v>
      </c>
      <c r="P315" s="9">
        <f t="shared" si="5"/>
        <v>0</v>
      </c>
      <c r="Q315" s="20">
        <f t="shared" si="108"/>
        <v>46012</v>
      </c>
      <c r="R315" s="9" t="str">
        <f t="shared" si="109"/>
        <v>X</v>
      </c>
      <c r="S315" s="28"/>
      <c r="T315" s="9"/>
      <c r="U315" s="9"/>
      <c r="V315" s="9" t="s">
        <v>43</v>
      </c>
      <c r="W315" s="9" t="s">
        <v>43</v>
      </c>
      <c r="X315" s="9" t="s">
        <v>43</v>
      </c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</row>
    <row r="316">
      <c r="A316" s="13">
        <f t="shared" si="103"/>
        <v>315</v>
      </c>
      <c r="B316" s="9">
        <v>1319.0</v>
      </c>
      <c r="C316" s="13"/>
      <c r="D316" s="13"/>
      <c r="E316" s="13"/>
      <c r="F316" s="18"/>
      <c r="G316" s="12"/>
      <c r="H316" s="10">
        <v>45810.0</v>
      </c>
      <c r="I316" s="12"/>
      <c r="J316" s="31">
        <v>45695.0</v>
      </c>
      <c r="K316" s="9" t="s">
        <v>49</v>
      </c>
      <c r="L316" s="39">
        <v>255.0</v>
      </c>
      <c r="M316" s="13">
        <f t="shared" si="105"/>
        <v>139</v>
      </c>
      <c r="N316" s="9">
        <v>1151.0</v>
      </c>
      <c r="O316" s="9">
        <f t="shared" si="100"/>
        <v>0</v>
      </c>
      <c r="P316" s="9">
        <f t="shared" si="5"/>
        <v>0</v>
      </c>
      <c r="Q316" s="20">
        <f t="shared" si="108"/>
        <v>46012</v>
      </c>
      <c r="R316" s="9" t="str">
        <f t="shared" si="109"/>
        <v>X</v>
      </c>
      <c r="S316" s="28"/>
      <c r="T316" s="9"/>
      <c r="U316" s="9"/>
      <c r="V316" s="9"/>
      <c r="W316" s="9" t="s">
        <v>43</v>
      </c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</row>
    <row r="317">
      <c r="A317" s="13">
        <f t="shared" si="103"/>
        <v>316</v>
      </c>
      <c r="B317" s="9">
        <v>1321.0</v>
      </c>
      <c r="C317" s="13"/>
      <c r="D317" s="13"/>
      <c r="E317" s="13"/>
      <c r="F317" s="18"/>
      <c r="G317" s="12"/>
      <c r="H317" s="10">
        <v>45810.0</v>
      </c>
      <c r="I317" s="12"/>
      <c r="J317" s="31">
        <v>45694.0</v>
      </c>
      <c r="K317" s="9" t="s">
        <v>49</v>
      </c>
      <c r="L317" s="39">
        <v>255.0</v>
      </c>
      <c r="M317" s="13">
        <f t="shared" si="105"/>
        <v>131</v>
      </c>
      <c r="N317" s="9">
        <v>1176.0</v>
      </c>
      <c r="O317" s="9">
        <f t="shared" si="100"/>
        <v>0</v>
      </c>
      <c r="P317" s="9">
        <f t="shared" si="5"/>
        <v>0</v>
      </c>
      <c r="Q317" s="20">
        <f t="shared" si="108"/>
        <v>46012</v>
      </c>
      <c r="R317" s="9" t="str">
        <f t="shared" si="109"/>
        <v>X</v>
      </c>
      <c r="S317" s="28"/>
      <c r="T317" s="9"/>
      <c r="U317" s="9"/>
      <c r="V317" s="9"/>
      <c r="W317" s="9" t="s">
        <v>43</v>
      </c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</row>
    <row r="318">
      <c r="A318" s="13">
        <f t="shared" si="103"/>
        <v>317</v>
      </c>
      <c r="B318" s="9">
        <v>1322.0</v>
      </c>
      <c r="C318" s="13"/>
      <c r="D318" s="13"/>
      <c r="E318" s="13"/>
      <c r="F318" s="18"/>
      <c r="G318" s="12"/>
      <c r="H318" s="10">
        <v>45725.0</v>
      </c>
      <c r="I318" s="12"/>
      <c r="J318" s="31">
        <v>45694.0</v>
      </c>
      <c r="K318" s="9" t="s">
        <v>31</v>
      </c>
      <c r="L318" s="39">
        <v>255.0</v>
      </c>
      <c r="M318" s="13">
        <f t="shared" si="105"/>
        <v>131</v>
      </c>
      <c r="N318" s="9">
        <v>1176.0</v>
      </c>
      <c r="O318" s="9">
        <f t="shared" si="100"/>
        <v>0</v>
      </c>
      <c r="P318" s="9">
        <f t="shared" si="5"/>
        <v>0</v>
      </c>
      <c r="Q318" s="20">
        <f t="shared" si="108"/>
        <v>46012</v>
      </c>
      <c r="R318" s="9" t="str">
        <f t="array" ref="R318">if("m"=K318,"X",if(or(countif(Cull!A:A,B:B)&gt;0,"X"= XLOOKUP(M:M,A:A,R:R)),"X",""))</f>
        <v>#REF!</v>
      </c>
      <c r="S318" s="9" t="s">
        <v>207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</row>
    <row r="319">
      <c r="A319" s="13">
        <f t="shared" si="103"/>
        <v>318</v>
      </c>
      <c r="B319" s="9">
        <v>1323.0</v>
      </c>
      <c r="C319" s="13"/>
      <c r="D319" s="13"/>
      <c r="E319" s="13"/>
      <c r="F319" s="18"/>
      <c r="G319" s="12"/>
      <c r="H319" s="10">
        <v>45845.0</v>
      </c>
      <c r="I319" s="12"/>
      <c r="J319" s="31">
        <v>45694.0</v>
      </c>
      <c r="K319" s="9" t="s">
        <v>31</v>
      </c>
      <c r="L319" s="39">
        <v>255.0</v>
      </c>
      <c r="M319" s="13">
        <f t="shared" si="105"/>
        <v>131</v>
      </c>
      <c r="N319" s="9">
        <v>1176.0</v>
      </c>
      <c r="O319" s="9">
        <f t="shared" si="100"/>
        <v>0</v>
      </c>
      <c r="P319" s="9">
        <f t="shared" si="5"/>
        <v>0</v>
      </c>
      <c r="Q319" s="20">
        <f t="shared" si="108"/>
        <v>46012</v>
      </c>
      <c r="R319" s="9" t="str">
        <f t="shared" ref="R319:R354" si="110">if(if("m"=K319,true,countif(Cull!A:A,B:B)&gt;0),"X","")</f>
        <v>#REF!</v>
      </c>
      <c r="S319" s="28"/>
      <c r="T319" s="9"/>
      <c r="U319" s="9" t="s">
        <v>43</v>
      </c>
      <c r="V319" s="9"/>
      <c r="W319" s="9" t="s">
        <v>43</v>
      </c>
      <c r="X319" s="9" t="s">
        <v>43</v>
      </c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</row>
    <row r="320">
      <c r="A320" s="13">
        <f t="shared" si="103"/>
        <v>319</v>
      </c>
      <c r="B320" s="9">
        <v>1332.0</v>
      </c>
      <c r="C320" s="13"/>
      <c r="D320" s="13"/>
      <c r="E320" s="13"/>
      <c r="F320" s="18"/>
      <c r="G320" s="12"/>
      <c r="H320" s="14">
        <v>45787.0</v>
      </c>
      <c r="I320" s="12"/>
      <c r="J320" s="10">
        <v>45696.0</v>
      </c>
      <c r="K320" s="9" t="s">
        <v>49</v>
      </c>
      <c r="L320" s="39">
        <v>255.0</v>
      </c>
      <c r="M320" s="13">
        <f t="shared" si="105"/>
        <v>138</v>
      </c>
      <c r="N320" s="9">
        <v>1155.0</v>
      </c>
      <c r="O320" s="9">
        <f t="shared" si="100"/>
        <v>0</v>
      </c>
      <c r="P320" s="9">
        <f t="shared" si="5"/>
        <v>0</v>
      </c>
      <c r="Q320" s="20">
        <f t="shared" si="108"/>
        <v>46012</v>
      </c>
      <c r="R320" s="9" t="str">
        <f t="shared" si="110"/>
        <v>X</v>
      </c>
      <c r="S320" s="28"/>
      <c r="T320" s="9"/>
      <c r="U320" s="9"/>
      <c r="V320" s="9" t="s">
        <v>43</v>
      </c>
      <c r="W320" s="9" t="s">
        <v>94</v>
      </c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</row>
    <row r="321">
      <c r="A321" s="13">
        <f t="shared" si="103"/>
        <v>320</v>
      </c>
      <c r="B321" s="9">
        <v>1333.0</v>
      </c>
      <c r="F321" s="18"/>
      <c r="G321" s="12"/>
      <c r="H321" s="18"/>
      <c r="I321" s="12"/>
      <c r="J321" s="10">
        <v>45696.0</v>
      </c>
      <c r="K321" s="9" t="s">
        <v>31</v>
      </c>
      <c r="L321" s="39">
        <v>255.0</v>
      </c>
      <c r="M321" s="13">
        <f t="shared" si="105"/>
        <v>250</v>
      </c>
      <c r="N321" s="9">
        <v>1265.0</v>
      </c>
      <c r="O321" s="9">
        <f t="shared" si="100"/>
        <v>0</v>
      </c>
      <c r="P321" s="9">
        <f t="shared" si="5"/>
        <v>0</v>
      </c>
      <c r="Q321" s="20">
        <f t="shared" si="108"/>
        <v>46012</v>
      </c>
      <c r="R321" s="9" t="str">
        <f t="shared" si="110"/>
        <v>#REF!</v>
      </c>
      <c r="S321" s="19" t="s">
        <v>211</v>
      </c>
      <c r="T321" s="9"/>
      <c r="U321" s="9" t="s">
        <v>43</v>
      </c>
      <c r="V321" s="9"/>
      <c r="W321" s="9" t="s">
        <v>94</v>
      </c>
    </row>
    <row r="322">
      <c r="A322" s="13">
        <f t="shared" si="103"/>
        <v>321</v>
      </c>
      <c r="B322" s="9">
        <v>1334.0</v>
      </c>
      <c r="C322" s="13"/>
      <c r="D322" s="13"/>
      <c r="E322" s="13"/>
      <c r="F322" s="18"/>
      <c r="G322" s="12"/>
      <c r="H322" s="10">
        <v>45845.0</v>
      </c>
      <c r="I322" s="12"/>
      <c r="J322" s="10">
        <v>45696.0</v>
      </c>
      <c r="K322" s="9" t="s">
        <v>49</v>
      </c>
      <c r="L322" s="39">
        <v>255.0</v>
      </c>
      <c r="M322" s="13">
        <f t="shared" si="105"/>
        <v>250</v>
      </c>
      <c r="N322" s="9">
        <v>1265.0</v>
      </c>
      <c r="O322" s="9">
        <f t="shared" si="100"/>
        <v>0</v>
      </c>
      <c r="P322" s="9">
        <f t="shared" si="5"/>
        <v>0</v>
      </c>
      <c r="Q322" s="20">
        <f t="shared" si="108"/>
        <v>46012</v>
      </c>
      <c r="R322" s="9" t="str">
        <f t="shared" si="110"/>
        <v>X</v>
      </c>
      <c r="S322" s="19" t="s">
        <v>212</v>
      </c>
      <c r="T322" s="9" t="s">
        <v>43</v>
      </c>
      <c r="U322" s="9"/>
      <c r="V322" s="9"/>
      <c r="W322" s="9" t="s">
        <v>43</v>
      </c>
      <c r="X322" s="9" t="s">
        <v>43</v>
      </c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</row>
    <row r="323">
      <c r="A323" s="13">
        <f t="shared" si="103"/>
        <v>322</v>
      </c>
      <c r="B323" s="9">
        <v>1335.0</v>
      </c>
      <c r="C323" s="13"/>
      <c r="D323" s="13"/>
      <c r="E323" s="13"/>
      <c r="F323" s="18"/>
      <c r="G323" s="12"/>
      <c r="H323" s="14">
        <v>45787.0</v>
      </c>
      <c r="I323" s="12"/>
      <c r="J323" s="10">
        <v>45698.0</v>
      </c>
      <c r="K323" s="9" t="s">
        <v>49</v>
      </c>
      <c r="L323" s="39">
        <v>255.0</v>
      </c>
      <c r="M323" s="13">
        <f t="shared" si="105"/>
        <v>12</v>
      </c>
      <c r="N323" s="17" t="s">
        <v>58</v>
      </c>
      <c r="O323" s="9">
        <f t="shared" si="100"/>
        <v>0</v>
      </c>
      <c r="P323" s="9">
        <f t="shared" si="5"/>
        <v>0</v>
      </c>
      <c r="Q323" s="20">
        <f t="shared" si="108"/>
        <v>46012</v>
      </c>
      <c r="R323" s="9" t="str">
        <f t="shared" si="110"/>
        <v>X</v>
      </c>
      <c r="S323" s="28"/>
      <c r="T323" s="9"/>
      <c r="U323" s="9"/>
      <c r="V323" s="9" t="s">
        <v>43</v>
      </c>
      <c r="W323" s="9" t="s">
        <v>43</v>
      </c>
      <c r="X323" s="9" t="s">
        <v>43</v>
      </c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</row>
    <row r="324">
      <c r="A324" s="13">
        <f t="shared" si="103"/>
        <v>323</v>
      </c>
      <c r="B324" s="9">
        <v>1336.0</v>
      </c>
      <c r="C324" s="13"/>
      <c r="D324" s="13"/>
      <c r="E324" s="13"/>
      <c r="F324" s="18"/>
      <c r="G324" s="12"/>
      <c r="H324" s="10">
        <v>45819.0</v>
      </c>
      <c r="I324" s="12"/>
      <c r="J324" s="10">
        <v>45708.0</v>
      </c>
      <c r="K324" s="9"/>
      <c r="L324" s="39">
        <v>255.0</v>
      </c>
      <c r="M324" s="13">
        <f t="shared" si="105"/>
        <v>248</v>
      </c>
      <c r="N324" s="9">
        <v>1264.0</v>
      </c>
      <c r="O324" s="9">
        <f t="shared" si="100"/>
        <v>0</v>
      </c>
      <c r="P324" s="9">
        <f t="shared" si="5"/>
        <v>0</v>
      </c>
      <c r="Q324" s="20">
        <f t="shared" si="108"/>
        <v>46012</v>
      </c>
      <c r="R324" s="9" t="str">
        <f t="shared" si="110"/>
        <v>#REF!</v>
      </c>
      <c r="S324" s="28"/>
      <c r="T324" s="9"/>
      <c r="U324" s="9"/>
      <c r="V324" s="9"/>
      <c r="W324" s="9" t="s">
        <v>43</v>
      </c>
      <c r="X324" s="9" t="s">
        <v>43</v>
      </c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</row>
    <row r="325">
      <c r="A325" s="13">
        <f t="shared" si="103"/>
        <v>324</v>
      </c>
      <c r="B325" s="9">
        <v>1337.0</v>
      </c>
      <c r="C325" s="13"/>
      <c r="D325" s="13"/>
      <c r="E325" s="13"/>
      <c r="F325" s="18"/>
      <c r="G325" s="12"/>
      <c r="H325" s="10">
        <v>45810.0</v>
      </c>
      <c r="I325" s="12"/>
      <c r="J325" s="10">
        <v>45710.0</v>
      </c>
      <c r="K325" s="9" t="s">
        <v>49</v>
      </c>
      <c r="L325" s="39">
        <v>255.0</v>
      </c>
      <c r="M325" s="13">
        <f t="shared" si="105"/>
        <v>90</v>
      </c>
      <c r="N325" s="9">
        <v>1100.0</v>
      </c>
      <c r="O325" s="13"/>
      <c r="P325" s="9">
        <f t="shared" si="5"/>
        <v>0</v>
      </c>
      <c r="Q325" s="20">
        <f t="shared" si="108"/>
        <v>46012</v>
      </c>
      <c r="R325" s="9" t="str">
        <f t="shared" si="110"/>
        <v>X</v>
      </c>
      <c r="S325" s="28"/>
      <c r="T325" s="9"/>
      <c r="U325" s="9"/>
      <c r="V325" s="9"/>
      <c r="W325" s="9" t="s">
        <v>43</v>
      </c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</row>
    <row r="326">
      <c r="A326" s="13">
        <f t="shared" si="103"/>
        <v>325</v>
      </c>
      <c r="B326" s="9">
        <v>1338.0</v>
      </c>
      <c r="C326" s="13"/>
      <c r="D326" s="13"/>
      <c r="E326" s="13"/>
      <c r="F326" s="18"/>
      <c r="G326" s="12"/>
      <c r="H326" s="10">
        <v>45845.0</v>
      </c>
      <c r="I326" s="12"/>
      <c r="J326" s="10">
        <v>45710.0</v>
      </c>
      <c r="K326" s="9" t="s">
        <v>31</v>
      </c>
      <c r="L326" s="39">
        <v>255.0</v>
      </c>
      <c r="M326" s="13">
        <f t="shared" si="105"/>
        <v>90</v>
      </c>
      <c r="N326" s="9">
        <v>1100.0</v>
      </c>
      <c r="O326" s="13"/>
      <c r="P326" s="9">
        <f t="shared" si="5"/>
        <v>0</v>
      </c>
      <c r="Q326" s="20">
        <f t="shared" si="108"/>
        <v>46012</v>
      </c>
      <c r="R326" s="9" t="str">
        <f t="shared" si="110"/>
        <v>#REF!</v>
      </c>
      <c r="S326" s="28"/>
      <c r="T326" s="9"/>
      <c r="U326" s="9" t="s">
        <v>43</v>
      </c>
      <c r="V326" s="9"/>
      <c r="W326" s="9" t="s">
        <v>43</v>
      </c>
      <c r="X326" s="9" t="s">
        <v>43</v>
      </c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</row>
    <row r="327">
      <c r="A327" s="13">
        <f t="shared" si="103"/>
        <v>326</v>
      </c>
      <c r="B327" s="9">
        <v>1339.0</v>
      </c>
      <c r="C327" s="13"/>
      <c r="D327" s="13"/>
      <c r="E327" s="13"/>
      <c r="F327" s="18"/>
      <c r="G327" s="12"/>
      <c r="H327" s="14">
        <v>45787.0</v>
      </c>
      <c r="I327" s="12"/>
      <c r="J327" s="10">
        <v>45709.0</v>
      </c>
      <c r="K327" s="9" t="s">
        <v>49</v>
      </c>
      <c r="L327" s="39">
        <v>255.0</v>
      </c>
      <c r="M327" s="13">
        <f t="shared" si="105"/>
        <v>254</v>
      </c>
      <c r="N327" s="9">
        <v>1195.0</v>
      </c>
      <c r="O327" s="13"/>
      <c r="P327" s="9">
        <f t="shared" si="5"/>
        <v>0</v>
      </c>
      <c r="Q327" s="20">
        <f t="shared" si="108"/>
        <v>46012</v>
      </c>
      <c r="R327" s="9" t="str">
        <f t="shared" si="110"/>
        <v>X</v>
      </c>
      <c r="S327" s="28"/>
      <c r="T327" s="9"/>
      <c r="U327" s="9"/>
      <c r="V327" s="9" t="s">
        <v>43</v>
      </c>
      <c r="W327" s="9" t="s">
        <v>43</v>
      </c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</row>
    <row r="328">
      <c r="A328" s="13">
        <f t="shared" si="103"/>
        <v>327</v>
      </c>
      <c r="B328" s="9">
        <v>1340.0</v>
      </c>
      <c r="C328" s="13"/>
      <c r="D328" s="13"/>
      <c r="E328" s="13"/>
      <c r="F328" s="18"/>
      <c r="G328" s="12"/>
      <c r="H328" s="10">
        <v>45819.0</v>
      </c>
      <c r="I328" s="12"/>
      <c r="J328" s="10">
        <v>45711.0</v>
      </c>
      <c r="K328" s="9" t="s">
        <v>31</v>
      </c>
      <c r="L328" s="39">
        <v>255.0</v>
      </c>
      <c r="M328" s="13" t="str">
        <f t="shared" si="105"/>
        <v>#N/A</v>
      </c>
      <c r="N328" s="9">
        <v>1192.0</v>
      </c>
      <c r="O328" s="13"/>
      <c r="P328" s="9">
        <f t="shared" si="5"/>
        <v>0</v>
      </c>
      <c r="Q328" s="20">
        <f t="shared" si="108"/>
        <v>46012</v>
      </c>
      <c r="R328" s="9" t="str">
        <f t="shared" si="110"/>
        <v>#REF!</v>
      </c>
      <c r="S328" s="28"/>
      <c r="T328" s="9"/>
      <c r="U328" s="9"/>
      <c r="V328" s="9"/>
      <c r="W328" s="9" t="s">
        <v>43</v>
      </c>
      <c r="X328" s="9" t="s">
        <v>43</v>
      </c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</row>
    <row r="329">
      <c r="A329" s="13">
        <f t="shared" si="103"/>
        <v>328</v>
      </c>
      <c r="B329" s="9">
        <v>1341.0</v>
      </c>
      <c r="C329" s="13"/>
      <c r="D329" s="13"/>
      <c r="E329" s="13"/>
      <c r="F329" s="18"/>
      <c r="G329" s="12"/>
      <c r="H329" s="10">
        <v>45845.0</v>
      </c>
      <c r="I329" s="12"/>
      <c r="J329" s="10">
        <v>45713.0</v>
      </c>
      <c r="K329" s="9" t="s">
        <v>31</v>
      </c>
      <c r="L329" s="39">
        <v>255.0</v>
      </c>
      <c r="M329" s="13">
        <f t="shared" si="105"/>
        <v>238</v>
      </c>
      <c r="N329" s="9">
        <v>1257.0</v>
      </c>
      <c r="O329" s="13"/>
      <c r="P329" s="9">
        <f t="shared" si="5"/>
        <v>0</v>
      </c>
      <c r="Q329" s="20">
        <f t="shared" si="108"/>
        <v>46012</v>
      </c>
      <c r="R329" s="9" t="str">
        <f t="shared" si="110"/>
        <v>#REF!</v>
      </c>
      <c r="S329" s="28"/>
      <c r="T329" s="9"/>
      <c r="U329" s="9" t="s">
        <v>43</v>
      </c>
      <c r="V329" s="9"/>
      <c r="W329" s="9" t="s">
        <v>43</v>
      </c>
      <c r="X329" s="9" t="s">
        <v>43</v>
      </c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</row>
    <row r="330">
      <c r="A330" s="13">
        <f t="shared" si="103"/>
        <v>329</v>
      </c>
      <c r="B330" s="9">
        <v>1342.0</v>
      </c>
      <c r="F330" s="18"/>
      <c r="G330" s="12"/>
      <c r="H330" s="18"/>
      <c r="I330" s="12"/>
      <c r="J330" s="10">
        <v>45720.0</v>
      </c>
      <c r="K330" s="9" t="s">
        <v>31</v>
      </c>
      <c r="M330" s="13">
        <f t="shared" si="105"/>
        <v>200</v>
      </c>
      <c r="N330" s="9">
        <v>1222.0</v>
      </c>
      <c r="P330" s="9">
        <f t="shared" si="5"/>
        <v>0</v>
      </c>
      <c r="Q330" s="20">
        <f t="shared" si="108"/>
        <v>46012</v>
      </c>
      <c r="R330" s="9" t="str">
        <f t="shared" si="110"/>
        <v>#REF!</v>
      </c>
      <c r="S330" s="28"/>
      <c r="T330" s="9" t="s">
        <v>43</v>
      </c>
      <c r="U330" s="9"/>
      <c r="V330" s="9"/>
      <c r="W330" s="9" t="s">
        <v>43</v>
      </c>
      <c r="X330" s="9" t="s">
        <v>43</v>
      </c>
    </row>
    <row r="331">
      <c r="A331" s="13">
        <f t="shared" si="103"/>
        <v>330</v>
      </c>
      <c r="B331" s="9">
        <v>1343.0</v>
      </c>
      <c r="C331" s="13"/>
      <c r="D331" s="13"/>
      <c r="E331" s="13"/>
      <c r="F331" s="18"/>
      <c r="G331" s="12"/>
      <c r="H331" s="10">
        <v>45845.0</v>
      </c>
      <c r="I331" s="12"/>
      <c r="J331" s="10">
        <v>45720.0</v>
      </c>
      <c r="K331" s="9" t="s">
        <v>31</v>
      </c>
      <c r="L331" s="13"/>
      <c r="M331" s="13">
        <f t="shared" si="105"/>
        <v>178</v>
      </c>
      <c r="N331" s="9">
        <v>1204.0</v>
      </c>
      <c r="O331" s="13"/>
      <c r="P331" s="9">
        <f t="shared" si="5"/>
        <v>0</v>
      </c>
      <c r="Q331" s="20">
        <f t="shared" si="108"/>
        <v>46012</v>
      </c>
      <c r="R331" s="9" t="str">
        <f t="shared" si="110"/>
        <v>#REF!</v>
      </c>
      <c r="S331" s="28"/>
      <c r="T331" s="9"/>
      <c r="U331" s="9" t="s">
        <v>43</v>
      </c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</row>
    <row r="332">
      <c r="A332" s="13">
        <f t="shared" si="103"/>
        <v>331</v>
      </c>
      <c r="B332" s="9">
        <v>1345.0</v>
      </c>
      <c r="C332" s="13"/>
      <c r="D332" s="13"/>
      <c r="E332" s="13"/>
      <c r="F332" s="18"/>
      <c r="G332" s="12"/>
      <c r="H332" s="10">
        <v>45855.0</v>
      </c>
      <c r="I332" s="12"/>
      <c r="J332" s="10">
        <v>45727.0</v>
      </c>
      <c r="K332" s="9" t="s">
        <v>31</v>
      </c>
      <c r="L332" s="13"/>
      <c r="M332" s="13">
        <f t="shared" si="105"/>
        <v>187</v>
      </c>
      <c r="N332" s="9">
        <v>1207.0</v>
      </c>
      <c r="O332" s="13"/>
      <c r="P332" s="9">
        <f t="shared" si="5"/>
        <v>0</v>
      </c>
      <c r="Q332" s="20">
        <f t="shared" si="108"/>
        <v>46012</v>
      </c>
      <c r="R332" s="9" t="str">
        <f t="shared" si="110"/>
        <v>#REF!</v>
      </c>
      <c r="S332" s="28"/>
      <c r="T332" s="9"/>
      <c r="U332" s="9" t="s">
        <v>43</v>
      </c>
      <c r="V332" s="9"/>
      <c r="W332" s="9" t="s">
        <v>43</v>
      </c>
      <c r="X332" s="9" t="s">
        <v>43</v>
      </c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</row>
    <row r="333">
      <c r="A333" s="13">
        <f t="shared" si="103"/>
        <v>332</v>
      </c>
      <c r="B333" s="9">
        <v>1346.0</v>
      </c>
      <c r="C333" s="13"/>
      <c r="D333" s="13"/>
      <c r="E333" s="13"/>
      <c r="F333" s="18"/>
      <c r="G333" s="12"/>
      <c r="H333" s="10">
        <v>45754.0</v>
      </c>
      <c r="I333" s="12"/>
      <c r="J333" s="10">
        <v>45727.0</v>
      </c>
      <c r="K333" s="9" t="s">
        <v>49</v>
      </c>
      <c r="L333" s="13"/>
      <c r="M333" s="13">
        <f t="shared" si="105"/>
        <v>187</v>
      </c>
      <c r="N333" s="9">
        <v>1207.0</v>
      </c>
      <c r="O333" s="13"/>
      <c r="P333" s="9">
        <f t="shared" si="5"/>
        <v>0</v>
      </c>
      <c r="Q333" s="20">
        <f t="shared" si="108"/>
        <v>46012</v>
      </c>
      <c r="R333" s="9" t="str">
        <f t="shared" si="110"/>
        <v>X</v>
      </c>
      <c r="S333" s="9" t="s">
        <v>213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</row>
    <row r="334">
      <c r="A334" s="13">
        <f t="shared" si="103"/>
        <v>333</v>
      </c>
      <c r="B334" s="9">
        <v>1347.0</v>
      </c>
      <c r="C334" s="13"/>
      <c r="D334" s="13"/>
      <c r="E334" s="13"/>
      <c r="F334" s="18"/>
      <c r="G334" s="12"/>
      <c r="H334" s="10">
        <v>45845.0</v>
      </c>
      <c r="I334" s="12"/>
      <c r="J334" s="10">
        <v>45732.0</v>
      </c>
      <c r="K334" s="9" t="s">
        <v>31</v>
      </c>
      <c r="L334" s="13"/>
      <c r="M334" s="13">
        <f t="shared" si="105"/>
        <v>204</v>
      </c>
      <c r="N334" s="9">
        <v>1228.0</v>
      </c>
      <c r="O334" s="13"/>
      <c r="P334" s="9">
        <f t="shared" si="5"/>
        <v>0</v>
      </c>
      <c r="Q334" s="20">
        <f t="shared" si="108"/>
        <v>46012</v>
      </c>
      <c r="R334" s="9" t="str">
        <f t="shared" si="110"/>
        <v>#REF!</v>
      </c>
      <c r="S334" s="28"/>
      <c r="T334" s="9"/>
      <c r="U334" s="9"/>
      <c r="V334" s="9"/>
      <c r="W334" s="9" t="s">
        <v>43</v>
      </c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</row>
    <row r="335">
      <c r="A335" s="13">
        <f t="shared" si="103"/>
        <v>334</v>
      </c>
      <c r="B335" s="9">
        <v>1260.0</v>
      </c>
      <c r="C335" s="13"/>
      <c r="D335" s="13"/>
      <c r="E335" s="13"/>
      <c r="F335" s="18"/>
      <c r="G335" s="12"/>
      <c r="H335" s="10">
        <v>45826.0</v>
      </c>
      <c r="I335" s="12"/>
      <c r="J335" s="10"/>
      <c r="K335" s="9" t="s">
        <v>31</v>
      </c>
      <c r="L335" s="13"/>
      <c r="M335" s="13" t="str">
        <f t="shared" si="105"/>
        <v>#N/A</v>
      </c>
      <c r="N335" s="9"/>
      <c r="O335" s="13"/>
      <c r="P335" s="9">
        <f t="shared" si="5"/>
        <v>2</v>
      </c>
      <c r="Q335" s="9">
        <f t="shared" si="108"/>
        <v>270</v>
      </c>
      <c r="R335" s="9" t="str">
        <f t="shared" si="110"/>
        <v>#REF!</v>
      </c>
      <c r="S335" s="19" t="s">
        <v>214</v>
      </c>
      <c r="T335" s="9"/>
      <c r="U335" s="9"/>
      <c r="V335" s="9"/>
      <c r="W335" s="9" t="s">
        <v>43</v>
      </c>
      <c r="X335" s="9"/>
      <c r="Y335" s="9" t="s">
        <v>43</v>
      </c>
      <c r="Z335" s="9" t="s">
        <v>43</v>
      </c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</row>
    <row r="336">
      <c r="A336" s="13">
        <f t="shared" si="103"/>
        <v>335</v>
      </c>
      <c r="B336" s="9">
        <v>1348.0</v>
      </c>
      <c r="C336" s="13"/>
      <c r="D336" s="13"/>
      <c r="E336" s="13"/>
      <c r="F336" s="18"/>
      <c r="G336" s="12"/>
      <c r="H336" s="10">
        <v>45845.0</v>
      </c>
      <c r="I336" s="12"/>
      <c r="J336" s="10">
        <v>45736.0</v>
      </c>
      <c r="K336" s="9" t="s">
        <v>31</v>
      </c>
      <c r="L336" s="13"/>
      <c r="M336" s="13">
        <f t="shared" si="105"/>
        <v>181</v>
      </c>
      <c r="N336" s="9">
        <v>1208.0</v>
      </c>
      <c r="O336" s="13"/>
      <c r="P336" s="9">
        <f t="shared" si="5"/>
        <v>0</v>
      </c>
      <c r="Q336" s="20">
        <f t="shared" si="108"/>
        <v>46012</v>
      </c>
      <c r="R336" s="9" t="str">
        <f t="shared" si="110"/>
        <v>#REF!</v>
      </c>
      <c r="S336" s="28"/>
      <c r="T336" s="9"/>
      <c r="U336" s="9" t="s">
        <v>43</v>
      </c>
      <c r="V336" s="9"/>
      <c r="W336" s="9" t="s">
        <v>43</v>
      </c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</row>
    <row r="337">
      <c r="A337" s="13">
        <f t="shared" si="103"/>
        <v>336</v>
      </c>
      <c r="B337" s="9">
        <v>1349.0</v>
      </c>
      <c r="C337" s="13"/>
      <c r="D337" s="13"/>
      <c r="E337" s="13"/>
      <c r="F337" s="18"/>
      <c r="G337" s="12"/>
      <c r="H337" s="10">
        <v>45845.0</v>
      </c>
      <c r="I337" s="12"/>
      <c r="J337" s="10">
        <v>45737.0</v>
      </c>
      <c r="K337" s="9" t="s">
        <v>31</v>
      </c>
      <c r="L337" s="13"/>
      <c r="M337" s="13">
        <f t="shared" si="105"/>
        <v>210</v>
      </c>
      <c r="N337" s="9">
        <v>1232.0</v>
      </c>
      <c r="O337" s="13"/>
      <c r="P337" s="9">
        <f t="shared" si="5"/>
        <v>0</v>
      </c>
      <c r="Q337" s="20">
        <f t="shared" si="108"/>
        <v>46012</v>
      </c>
      <c r="R337" s="9" t="str">
        <f t="shared" si="110"/>
        <v>#REF!</v>
      </c>
      <c r="S337" s="28"/>
      <c r="T337" s="9"/>
      <c r="U337" s="9" t="s">
        <v>43</v>
      </c>
      <c r="V337" s="9"/>
      <c r="W337" s="9" t="s">
        <v>43</v>
      </c>
      <c r="X337" s="9" t="s">
        <v>43</v>
      </c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</row>
    <row r="338">
      <c r="A338" s="13">
        <f t="shared" si="103"/>
        <v>337</v>
      </c>
      <c r="B338" s="9">
        <v>1350.0</v>
      </c>
      <c r="C338" s="13"/>
      <c r="D338" s="13"/>
      <c r="E338" s="13"/>
      <c r="F338" s="18"/>
      <c r="G338" s="12"/>
      <c r="H338" s="10">
        <v>45845.0</v>
      </c>
      <c r="I338" s="12"/>
      <c r="J338" s="10">
        <v>45742.0</v>
      </c>
      <c r="K338" s="9" t="s">
        <v>31</v>
      </c>
      <c r="L338" s="13"/>
      <c r="M338" s="13">
        <f t="shared" si="105"/>
        <v>334</v>
      </c>
      <c r="N338" s="9">
        <v>1260.0</v>
      </c>
      <c r="O338" s="13"/>
      <c r="P338" s="9">
        <f t="shared" si="5"/>
        <v>0</v>
      </c>
      <c r="Q338" s="20">
        <f t="shared" si="108"/>
        <v>46012</v>
      </c>
      <c r="R338" s="9" t="str">
        <f t="shared" si="110"/>
        <v>#REF!</v>
      </c>
      <c r="S338" s="19" t="s">
        <v>138</v>
      </c>
      <c r="T338" s="9"/>
      <c r="U338" s="9" t="s">
        <v>43</v>
      </c>
      <c r="V338" s="9"/>
      <c r="W338" s="9" t="s">
        <v>43</v>
      </c>
      <c r="X338" s="9"/>
      <c r="Y338" s="9"/>
      <c r="Z338" s="9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</row>
    <row r="339">
      <c r="A339" s="13">
        <f t="shared" si="103"/>
        <v>338</v>
      </c>
      <c r="B339" s="9">
        <v>1351.0</v>
      </c>
      <c r="C339" s="13"/>
      <c r="D339" s="13"/>
      <c r="E339" s="13"/>
      <c r="F339" s="18"/>
      <c r="G339" s="12"/>
      <c r="H339" s="10">
        <v>45845.0</v>
      </c>
      <c r="I339" s="12"/>
      <c r="J339" s="10">
        <v>45742.0</v>
      </c>
      <c r="K339" s="9" t="s">
        <v>31</v>
      </c>
      <c r="L339" s="13"/>
      <c r="M339" s="13">
        <f t="shared" si="105"/>
        <v>334</v>
      </c>
      <c r="N339" s="9">
        <v>1260.0</v>
      </c>
      <c r="O339" s="13"/>
      <c r="P339" s="9">
        <f t="shared" si="5"/>
        <v>0</v>
      </c>
      <c r="Q339" s="20">
        <f t="shared" si="108"/>
        <v>46012</v>
      </c>
      <c r="R339" s="9" t="str">
        <f t="shared" si="110"/>
        <v>#REF!</v>
      </c>
      <c r="S339" s="19" t="s">
        <v>215</v>
      </c>
      <c r="T339" s="9"/>
      <c r="U339" s="9" t="s">
        <v>43</v>
      </c>
      <c r="V339" s="9"/>
      <c r="W339" s="9" t="s">
        <v>43</v>
      </c>
      <c r="X339" s="9"/>
      <c r="Y339" s="9"/>
      <c r="Z339" s="9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</row>
    <row r="340">
      <c r="A340" s="13">
        <f t="shared" si="103"/>
        <v>339</v>
      </c>
      <c r="B340" s="9">
        <v>1354.0</v>
      </c>
      <c r="C340" s="13"/>
      <c r="D340" s="13"/>
      <c r="E340" s="13"/>
      <c r="F340" s="18"/>
      <c r="G340" s="12"/>
      <c r="H340" s="10">
        <v>45785.0</v>
      </c>
      <c r="I340" s="12"/>
      <c r="J340" s="10">
        <v>45742.0</v>
      </c>
      <c r="K340" s="9" t="s">
        <v>31</v>
      </c>
      <c r="L340" s="13"/>
      <c r="M340" s="13">
        <f t="shared" si="105"/>
        <v>215</v>
      </c>
      <c r="N340" s="9">
        <v>1239.0</v>
      </c>
      <c r="O340" s="13"/>
      <c r="P340" s="9">
        <f t="shared" si="5"/>
        <v>0</v>
      </c>
      <c r="Q340" s="20">
        <f t="shared" si="108"/>
        <v>46012</v>
      </c>
      <c r="R340" s="9" t="str">
        <f t="shared" si="110"/>
        <v>#REF!</v>
      </c>
      <c r="S340" s="19" t="s">
        <v>216</v>
      </c>
      <c r="T340" s="9"/>
      <c r="U340" s="9"/>
      <c r="V340" s="9"/>
      <c r="W340" s="9"/>
      <c r="X340" s="9"/>
      <c r="Y340" s="9"/>
      <c r="Z340" s="9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</row>
    <row r="341">
      <c r="A341" s="13">
        <f t="shared" si="103"/>
        <v>340</v>
      </c>
      <c r="B341" s="9">
        <v>1355.0</v>
      </c>
      <c r="C341" s="13"/>
      <c r="D341" s="13"/>
      <c r="E341" s="13"/>
      <c r="F341" s="18"/>
      <c r="G341" s="12"/>
      <c r="H341" s="10">
        <v>45845.0</v>
      </c>
      <c r="I341" s="12"/>
      <c r="J341" s="10">
        <v>45742.0</v>
      </c>
      <c r="K341" s="9" t="s">
        <v>49</v>
      </c>
      <c r="L341" s="13"/>
      <c r="M341" s="13">
        <f t="shared" si="105"/>
        <v>215</v>
      </c>
      <c r="N341" s="9">
        <v>1239.0</v>
      </c>
      <c r="O341" s="13"/>
      <c r="P341" s="9">
        <f t="shared" si="5"/>
        <v>0</v>
      </c>
      <c r="Q341" s="20">
        <f t="shared" si="108"/>
        <v>46012</v>
      </c>
      <c r="R341" s="9" t="str">
        <f t="shared" si="110"/>
        <v>X</v>
      </c>
      <c r="S341" s="19" t="s">
        <v>37</v>
      </c>
      <c r="T341" s="9"/>
      <c r="U341" s="9" t="s">
        <v>43</v>
      </c>
      <c r="V341" s="9"/>
      <c r="W341" s="9" t="s">
        <v>43</v>
      </c>
      <c r="X341" s="9"/>
      <c r="Y341" s="9"/>
      <c r="Z341" s="9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</row>
    <row r="342">
      <c r="A342" s="13">
        <f t="shared" si="103"/>
        <v>341</v>
      </c>
      <c r="B342" s="9">
        <v>1352.0</v>
      </c>
      <c r="C342" s="13"/>
      <c r="D342" s="13"/>
      <c r="E342" s="13"/>
      <c r="F342" s="18"/>
      <c r="G342" s="12"/>
      <c r="H342" s="10">
        <v>45772.0</v>
      </c>
      <c r="I342" s="12"/>
      <c r="J342" s="10">
        <v>45744.0</v>
      </c>
      <c r="K342" s="9" t="s">
        <v>49</v>
      </c>
      <c r="L342" s="13"/>
      <c r="M342" s="13">
        <f t="shared" si="105"/>
        <v>182</v>
      </c>
      <c r="N342" s="9">
        <v>1209.0</v>
      </c>
      <c r="O342" s="13"/>
      <c r="P342" s="9">
        <f t="shared" si="5"/>
        <v>0</v>
      </c>
      <c r="Q342" s="20">
        <f t="shared" si="108"/>
        <v>46012</v>
      </c>
      <c r="R342" s="9" t="str">
        <f t="shared" si="110"/>
        <v>X</v>
      </c>
      <c r="S342" s="19" t="s">
        <v>217</v>
      </c>
      <c r="T342" s="9"/>
      <c r="U342" s="9"/>
      <c r="V342" s="9"/>
      <c r="W342" s="9" t="s">
        <v>43</v>
      </c>
      <c r="X342" s="9"/>
      <c r="Y342" s="9"/>
      <c r="Z342" s="9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</row>
    <row r="343">
      <c r="A343" s="13">
        <f t="shared" si="103"/>
        <v>342</v>
      </c>
      <c r="B343" s="9">
        <v>1353.0</v>
      </c>
      <c r="C343" s="13"/>
      <c r="D343" s="13"/>
      <c r="E343" s="13"/>
      <c r="F343" s="18"/>
      <c r="G343" s="12"/>
      <c r="H343" s="10">
        <v>45857.0</v>
      </c>
      <c r="I343" s="12"/>
      <c r="J343" s="10">
        <v>45744.0</v>
      </c>
      <c r="K343" s="9" t="s">
        <v>49</v>
      </c>
      <c r="L343" s="13"/>
      <c r="M343" s="13">
        <f t="shared" si="105"/>
        <v>182</v>
      </c>
      <c r="N343" s="9">
        <v>1209.0</v>
      </c>
      <c r="O343" s="13"/>
      <c r="P343" s="9">
        <f t="shared" si="5"/>
        <v>0</v>
      </c>
      <c r="Q343" s="20">
        <f t="shared" si="108"/>
        <v>46012</v>
      </c>
      <c r="R343" s="9" t="str">
        <f t="shared" si="110"/>
        <v>X</v>
      </c>
      <c r="S343" s="19" t="s">
        <v>218</v>
      </c>
      <c r="T343" s="9"/>
      <c r="U343" s="9" t="s">
        <v>43</v>
      </c>
      <c r="V343" s="9"/>
      <c r="W343" s="9" t="s">
        <v>43</v>
      </c>
      <c r="X343" s="9" t="s">
        <v>43</v>
      </c>
      <c r="Y343" s="9"/>
      <c r="Z343" s="9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</row>
    <row r="344">
      <c r="A344" s="13">
        <f t="shared" si="103"/>
        <v>343</v>
      </c>
      <c r="B344" s="9">
        <v>1356.0</v>
      </c>
      <c r="C344" s="13"/>
      <c r="D344" s="13"/>
      <c r="E344" s="13"/>
      <c r="F344" s="18"/>
      <c r="G344" s="12"/>
      <c r="H344" s="10">
        <v>45810.0</v>
      </c>
      <c r="I344" s="12"/>
      <c r="J344" s="10">
        <v>45744.0</v>
      </c>
      <c r="K344" s="9" t="s">
        <v>49</v>
      </c>
      <c r="L344" s="13"/>
      <c r="M344" s="13">
        <f t="shared" si="105"/>
        <v>174</v>
      </c>
      <c r="N344" s="9">
        <v>1201.0</v>
      </c>
      <c r="O344" s="13"/>
      <c r="P344" s="9">
        <f t="shared" si="5"/>
        <v>0</v>
      </c>
      <c r="Q344" s="20">
        <f t="shared" si="108"/>
        <v>46012</v>
      </c>
      <c r="R344" s="9" t="str">
        <f t="shared" si="110"/>
        <v>X</v>
      </c>
      <c r="S344" s="19" t="s">
        <v>219</v>
      </c>
      <c r="T344" s="9"/>
      <c r="U344" s="9"/>
      <c r="V344" s="9"/>
      <c r="W344" s="9"/>
      <c r="X344" s="9"/>
      <c r="Y344" s="9"/>
      <c r="Z344" s="9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</row>
    <row r="345">
      <c r="A345" s="13">
        <f t="shared" si="103"/>
        <v>344</v>
      </c>
      <c r="B345" s="9">
        <v>1357.0</v>
      </c>
      <c r="C345" s="13"/>
      <c r="D345" s="13"/>
      <c r="E345" s="13"/>
      <c r="F345" s="18"/>
      <c r="G345" s="12"/>
      <c r="H345" s="10">
        <v>45845.0</v>
      </c>
      <c r="I345" s="12"/>
      <c r="J345" s="10">
        <v>45745.0</v>
      </c>
      <c r="K345" s="9" t="s">
        <v>31</v>
      </c>
      <c r="L345" s="13"/>
      <c r="M345" s="13">
        <f t="shared" si="105"/>
        <v>214</v>
      </c>
      <c r="N345" s="9">
        <v>1238.0</v>
      </c>
      <c r="O345" s="13"/>
      <c r="P345" s="9">
        <f t="shared" si="5"/>
        <v>0</v>
      </c>
      <c r="Q345" s="20">
        <f t="shared" si="108"/>
        <v>46012</v>
      </c>
      <c r="R345" s="9" t="str">
        <f t="shared" si="110"/>
        <v>#REF!</v>
      </c>
      <c r="S345" s="19"/>
      <c r="T345" s="9"/>
      <c r="U345" s="9" t="s">
        <v>43</v>
      </c>
      <c r="V345" s="9"/>
      <c r="W345" s="9" t="s">
        <v>43</v>
      </c>
      <c r="X345" s="9"/>
      <c r="Y345" s="9"/>
      <c r="Z345" s="9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</row>
    <row r="346">
      <c r="A346" s="13">
        <f t="shared" si="103"/>
        <v>345</v>
      </c>
      <c r="B346" s="9">
        <v>1359.0</v>
      </c>
      <c r="C346" s="13"/>
      <c r="D346" s="13"/>
      <c r="E346" s="13"/>
      <c r="F346" s="18"/>
      <c r="G346" s="12"/>
      <c r="H346" s="10">
        <v>45845.0</v>
      </c>
      <c r="I346" s="12"/>
      <c r="J346" s="10">
        <v>45746.0</v>
      </c>
      <c r="K346" s="9" t="s">
        <v>31</v>
      </c>
      <c r="L346" s="13"/>
      <c r="M346" s="13">
        <f t="shared" si="105"/>
        <v>99</v>
      </c>
      <c r="N346" s="9">
        <v>1107.0</v>
      </c>
      <c r="O346" s="13"/>
      <c r="P346" s="9">
        <f t="shared" si="5"/>
        <v>0</v>
      </c>
      <c r="Q346" s="20">
        <f t="shared" si="108"/>
        <v>46012</v>
      </c>
      <c r="R346" s="9" t="str">
        <f t="shared" si="110"/>
        <v>#REF!</v>
      </c>
      <c r="S346" s="19" t="s">
        <v>37</v>
      </c>
      <c r="T346" s="9"/>
      <c r="U346" s="9" t="s">
        <v>43</v>
      </c>
      <c r="V346" s="9"/>
      <c r="W346" s="9"/>
      <c r="X346" s="9"/>
      <c r="Y346" s="9"/>
      <c r="Z346" s="9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</row>
    <row r="347">
      <c r="A347" s="13">
        <f t="shared" si="103"/>
        <v>346</v>
      </c>
      <c r="B347" s="9">
        <v>1360.0</v>
      </c>
      <c r="F347" s="18"/>
      <c r="G347" s="12"/>
      <c r="H347" s="18"/>
      <c r="I347" s="12"/>
      <c r="J347" s="10">
        <v>45746.0</v>
      </c>
      <c r="K347" s="9" t="s">
        <v>49</v>
      </c>
      <c r="M347" s="13">
        <f t="shared" si="105"/>
        <v>99</v>
      </c>
      <c r="N347" s="9">
        <v>1107.0</v>
      </c>
      <c r="P347" s="9">
        <f t="shared" si="5"/>
        <v>0</v>
      </c>
      <c r="Q347" s="20">
        <f t="shared" si="108"/>
        <v>46012</v>
      </c>
      <c r="R347" s="9" t="str">
        <f t="shared" si="110"/>
        <v>X</v>
      </c>
      <c r="S347" s="19" t="s">
        <v>220</v>
      </c>
      <c r="T347" s="9"/>
      <c r="U347" s="9"/>
      <c r="V347" s="9"/>
      <c r="W347" s="9"/>
      <c r="X347" s="9"/>
      <c r="Y347" s="9"/>
      <c r="Z347" s="9"/>
    </row>
    <row r="348">
      <c r="A348" s="13">
        <f t="shared" si="103"/>
        <v>347</v>
      </c>
      <c r="B348" s="9">
        <v>1361.0</v>
      </c>
      <c r="C348" s="13"/>
      <c r="D348" s="13"/>
      <c r="E348" s="13"/>
      <c r="F348" s="18"/>
      <c r="G348" s="12"/>
      <c r="H348" s="10">
        <v>45845.0</v>
      </c>
      <c r="I348" s="12"/>
      <c r="J348" s="10">
        <v>45747.0</v>
      </c>
      <c r="K348" s="9" t="s">
        <v>31</v>
      </c>
      <c r="L348" s="13"/>
      <c r="M348" s="13">
        <f t="shared" si="105"/>
        <v>234</v>
      </c>
      <c r="N348" s="9">
        <v>1252.0</v>
      </c>
      <c r="O348" s="13"/>
      <c r="P348" s="9">
        <f t="shared" si="5"/>
        <v>0</v>
      </c>
      <c r="Q348" s="20">
        <f t="shared" si="108"/>
        <v>46012</v>
      </c>
      <c r="R348" s="9" t="str">
        <f t="shared" si="110"/>
        <v>#REF!</v>
      </c>
      <c r="S348" s="19" t="s">
        <v>220</v>
      </c>
      <c r="T348" s="9"/>
      <c r="U348" s="9" t="s">
        <v>43</v>
      </c>
      <c r="V348" s="9"/>
      <c r="W348" s="9"/>
      <c r="X348" s="9"/>
      <c r="Y348" s="9"/>
      <c r="Z348" s="9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</row>
    <row r="349">
      <c r="A349" s="13">
        <f t="shared" si="103"/>
        <v>348</v>
      </c>
      <c r="B349" s="9">
        <v>1362.0</v>
      </c>
      <c r="C349" s="13"/>
      <c r="D349" s="13"/>
      <c r="E349" s="13"/>
      <c r="F349" s="18"/>
      <c r="G349" s="12"/>
      <c r="H349" s="10">
        <v>45845.0</v>
      </c>
      <c r="I349" s="12"/>
      <c r="J349" s="10">
        <v>45747.0</v>
      </c>
      <c r="K349" s="9" t="s">
        <v>31</v>
      </c>
      <c r="L349" s="13"/>
      <c r="M349" s="13">
        <f t="shared" si="105"/>
        <v>234</v>
      </c>
      <c r="N349" s="9">
        <v>1252.0</v>
      </c>
      <c r="O349" s="13"/>
      <c r="P349" s="9">
        <f t="shared" si="5"/>
        <v>0</v>
      </c>
      <c r="Q349" s="20">
        <f t="shared" si="108"/>
        <v>46012</v>
      </c>
      <c r="R349" s="9" t="str">
        <f t="shared" si="110"/>
        <v>#REF!</v>
      </c>
      <c r="S349" s="19" t="s">
        <v>220</v>
      </c>
      <c r="T349" s="9"/>
      <c r="U349" s="9" t="s">
        <v>43</v>
      </c>
      <c r="V349" s="9"/>
      <c r="W349" s="9"/>
      <c r="X349" s="9"/>
      <c r="Y349" s="9"/>
      <c r="Z349" s="9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</row>
    <row r="350">
      <c r="A350" s="13">
        <f t="shared" si="103"/>
        <v>349</v>
      </c>
      <c r="B350" s="9">
        <v>1358.0</v>
      </c>
      <c r="F350" s="18"/>
      <c r="G350" s="12"/>
      <c r="H350" s="18"/>
      <c r="I350" s="12"/>
      <c r="J350" s="10">
        <v>45751.0</v>
      </c>
      <c r="K350" s="9" t="s">
        <v>49</v>
      </c>
      <c r="M350" s="13">
        <f t="shared" si="105"/>
        <v>4</v>
      </c>
      <c r="N350" s="17" t="s">
        <v>44</v>
      </c>
      <c r="P350" s="9">
        <f t="shared" si="5"/>
        <v>0</v>
      </c>
      <c r="Q350" s="20">
        <f t="shared" si="108"/>
        <v>46012</v>
      </c>
      <c r="R350" s="9" t="str">
        <f t="shared" si="110"/>
        <v>X</v>
      </c>
      <c r="S350" s="19" t="s">
        <v>221</v>
      </c>
      <c r="T350" s="9"/>
      <c r="U350" s="9"/>
      <c r="V350" s="9"/>
      <c r="W350" s="9"/>
      <c r="X350" s="9"/>
      <c r="Y350" s="9"/>
      <c r="Z350" s="9"/>
    </row>
    <row r="351">
      <c r="A351" s="13">
        <f t="shared" si="103"/>
        <v>350</v>
      </c>
      <c r="B351" s="9">
        <v>1363.0</v>
      </c>
      <c r="C351" s="13"/>
      <c r="D351" s="13"/>
      <c r="E351" s="13"/>
      <c r="F351" s="18"/>
      <c r="G351" s="12"/>
      <c r="H351" s="10">
        <v>45810.0</v>
      </c>
      <c r="I351" s="12"/>
      <c r="J351" s="10">
        <v>45751.0</v>
      </c>
      <c r="K351" s="9" t="s">
        <v>49</v>
      </c>
      <c r="L351" s="13"/>
      <c r="M351" s="13">
        <f t="shared" si="105"/>
        <v>217</v>
      </c>
      <c r="N351" s="9">
        <v>1241.0</v>
      </c>
      <c r="O351" s="13"/>
      <c r="P351" s="9">
        <f t="shared" si="5"/>
        <v>0</v>
      </c>
      <c r="Q351" s="20">
        <f t="shared" si="108"/>
        <v>46012</v>
      </c>
      <c r="R351" s="9" t="str">
        <f t="shared" si="110"/>
        <v>X</v>
      </c>
      <c r="S351" s="19"/>
      <c r="T351" s="9"/>
      <c r="U351" s="9"/>
      <c r="V351" s="9"/>
      <c r="W351" s="9"/>
      <c r="X351" s="9"/>
      <c r="Y351" s="9"/>
      <c r="Z351" s="9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</row>
    <row r="352">
      <c r="A352" s="13">
        <f t="shared" si="103"/>
        <v>351</v>
      </c>
      <c r="B352" s="9">
        <v>1364.0</v>
      </c>
      <c r="C352" s="13"/>
      <c r="D352" s="13"/>
      <c r="E352" s="13"/>
      <c r="F352" s="18"/>
      <c r="G352" s="12"/>
      <c r="H352" s="10">
        <v>45845.0</v>
      </c>
      <c r="I352" s="12"/>
      <c r="J352" s="10">
        <v>45751.0</v>
      </c>
      <c r="K352" s="9" t="s">
        <v>31</v>
      </c>
      <c r="L352" s="13"/>
      <c r="M352" s="13">
        <f t="shared" si="105"/>
        <v>209</v>
      </c>
      <c r="N352" s="9">
        <v>1233.0</v>
      </c>
      <c r="O352" s="13"/>
      <c r="P352" s="9">
        <f t="shared" si="5"/>
        <v>0</v>
      </c>
      <c r="Q352" s="20">
        <f t="shared" si="108"/>
        <v>46012</v>
      </c>
      <c r="R352" s="9" t="str">
        <f t="shared" si="110"/>
        <v>#REF!</v>
      </c>
      <c r="S352" s="19"/>
      <c r="T352" s="9"/>
      <c r="U352" s="9" t="s">
        <v>43</v>
      </c>
      <c r="V352" s="9"/>
      <c r="W352" s="9"/>
      <c r="X352" s="9"/>
      <c r="Y352" s="9"/>
      <c r="Z352" s="9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</row>
    <row r="353">
      <c r="A353" s="13">
        <f t="shared" si="103"/>
        <v>352</v>
      </c>
      <c r="B353" s="9">
        <v>1365.0</v>
      </c>
      <c r="F353" s="18"/>
      <c r="G353" s="12"/>
      <c r="H353" s="18"/>
      <c r="I353" s="12"/>
      <c r="J353" s="10">
        <v>45751.0</v>
      </c>
      <c r="K353" s="9" t="s">
        <v>49</v>
      </c>
      <c r="M353" s="13">
        <f t="shared" si="105"/>
        <v>229</v>
      </c>
      <c r="N353" s="9">
        <v>1249.0</v>
      </c>
      <c r="P353" s="9">
        <f t="shared" si="5"/>
        <v>0</v>
      </c>
      <c r="Q353" s="20">
        <f t="shared" si="108"/>
        <v>46012</v>
      </c>
      <c r="R353" s="9" t="str">
        <f t="shared" si="110"/>
        <v>X</v>
      </c>
      <c r="S353" s="19" t="s">
        <v>222</v>
      </c>
      <c r="T353" s="9"/>
      <c r="U353" s="9"/>
      <c r="V353" s="9"/>
      <c r="W353" s="9"/>
      <c r="X353" s="9"/>
      <c r="Y353" s="9"/>
      <c r="Z353" s="9"/>
    </row>
    <row r="354">
      <c r="A354" s="13">
        <f t="shared" si="103"/>
        <v>353</v>
      </c>
      <c r="B354" s="9">
        <v>1366.0</v>
      </c>
      <c r="C354" s="13"/>
      <c r="D354" s="13"/>
      <c r="E354" s="13"/>
      <c r="F354" s="18"/>
      <c r="G354" s="12"/>
      <c r="H354" s="10">
        <v>45844.0</v>
      </c>
      <c r="I354" s="12"/>
      <c r="J354" s="10">
        <v>45751.0</v>
      </c>
      <c r="K354" s="9" t="s">
        <v>49</v>
      </c>
      <c r="L354" s="13"/>
      <c r="M354" s="13">
        <f t="shared" si="105"/>
        <v>229</v>
      </c>
      <c r="N354" s="9">
        <v>1249.0</v>
      </c>
      <c r="O354" s="13"/>
      <c r="P354" s="9">
        <f t="shared" si="5"/>
        <v>0</v>
      </c>
      <c r="Q354" s="20">
        <f t="shared" si="108"/>
        <v>46012</v>
      </c>
      <c r="R354" s="9" t="str">
        <f t="shared" si="110"/>
        <v>X</v>
      </c>
      <c r="S354" s="19" t="s">
        <v>222</v>
      </c>
      <c r="T354" s="9"/>
      <c r="U354" s="9" t="s">
        <v>223</v>
      </c>
      <c r="V354" s="9"/>
      <c r="W354" s="9"/>
      <c r="X354" s="9"/>
      <c r="Y354" s="9"/>
      <c r="Z354" s="9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</row>
    <row r="355">
      <c r="A355" s="13">
        <f t="shared" si="103"/>
        <v>354</v>
      </c>
      <c r="J355" s="14">
        <v>45754.0</v>
      </c>
      <c r="K355" s="9" t="s">
        <v>49</v>
      </c>
      <c r="M355" s="13">
        <f t="shared" si="105"/>
        <v>216</v>
      </c>
      <c r="N355" s="9">
        <v>1240.0</v>
      </c>
      <c r="P355" s="9">
        <f t="shared" si="5"/>
        <v>0</v>
      </c>
      <c r="Q355" s="9"/>
      <c r="R355" s="9" t="str">
        <f t="array" ref="R355">if("m"=K355,"X",if(or(countif(Cull!A:A,B:B)&gt;0,"X"= XLOOKUP(M:M,A:A,R:R)),"X",""))</f>
        <v>X</v>
      </c>
      <c r="S355" s="9" t="s">
        <v>188</v>
      </c>
    </row>
    <row r="356">
      <c r="A356" s="13">
        <f t="shared" si="103"/>
        <v>355</v>
      </c>
      <c r="B356" s="9">
        <v>1367.0</v>
      </c>
      <c r="C356" s="13"/>
      <c r="D356" s="13"/>
      <c r="E356" s="13"/>
      <c r="F356" s="13"/>
      <c r="G356" s="13"/>
      <c r="H356" s="10">
        <v>45845.0</v>
      </c>
      <c r="I356" s="13"/>
      <c r="J356" s="14">
        <v>45755.0</v>
      </c>
      <c r="K356" s="9" t="s">
        <v>31</v>
      </c>
      <c r="L356" s="13"/>
      <c r="M356" s="13">
        <f t="shared" si="105"/>
        <v>219</v>
      </c>
      <c r="N356" s="9">
        <v>1243.0</v>
      </c>
      <c r="O356" s="13"/>
      <c r="P356" s="9">
        <f t="shared" si="5"/>
        <v>0</v>
      </c>
      <c r="Q356" s="20">
        <f t="shared" ref="Q356:Q359" si="111">today()-xlookup(A356,M:M,J:J,"",0,-1)</f>
        <v>46012</v>
      </c>
      <c r="R356" s="9" t="str">
        <f t="shared" ref="R356:R359" si="112">if(if("m"=K356,true,countif(Cull!A:A,B:B)&gt;0),"X","")</f>
        <v>#REF!</v>
      </c>
      <c r="S356" s="19" t="s">
        <v>224</v>
      </c>
      <c r="T356" s="9"/>
      <c r="U356" s="9" t="s">
        <v>43</v>
      </c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</row>
    <row r="357">
      <c r="A357" s="13">
        <f t="shared" si="103"/>
        <v>356</v>
      </c>
      <c r="B357" s="9">
        <v>1368.0</v>
      </c>
      <c r="C357" s="13"/>
      <c r="D357" s="13"/>
      <c r="E357" s="13"/>
      <c r="F357" s="13"/>
      <c r="G357" s="13"/>
      <c r="H357" s="10">
        <v>45845.0</v>
      </c>
      <c r="I357" s="13"/>
      <c r="J357" s="14">
        <v>45755.0</v>
      </c>
      <c r="K357" s="9" t="s">
        <v>31</v>
      </c>
      <c r="L357" s="13"/>
      <c r="M357" s="13">
        <f t="shared" si="105"/>
        <v>219</v>
      </c>
      <c r="N357" s="9">
        <v>1243.0</v>
      </c>
      <c r="O357" s="13"/>
      <c r="P357" s="9">
        <f t="shared" si="5"/>
        <v>0</v>
      </c>
      <c r="Q357" s="20">
        <f t="shared" si="111"/>
        <v>46012</v>
      </c>
      <c r="R357" s="9" t="str">
        <f t="shared" si="112"/>
        <v>#REF!</v>
      </c>
      <c r="S357" s="19" t="s">
        <v>123</v>
      </c>
      <c r="T357" s="9"/>
      <c r="U357" s="9" t="s">
        <v>43</v>
      </c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</row>
    <row r="358">
      <c r="A358" s="13">
        <f t="shared" si="103"/>
        <v>357</v>
      </c>
      <c r="B358" s="9">
        <v>1369.0</v>
      </c>
      <c r="C358" s="13"/>
      <c r="D358" s="13"/>
      <c r="E358" s="13"/>
      <c r="F358" s="13"/>
      <c r="G358" s="13"/>
      <c r="H358" s="10">
        <v>45810.0</v>
      </c>
      <c r="I358" s="13"/>
      <c r="J358" s="14">
        <v>45755.0</v>
      </c>
      <c r="K358" s="9" t="s">
        <v>49</v>
      </c>
      <c r="L358" s="13"/>
      <c r="M358" s="13">
        <f t="shared" si="105"/>
        <v>192</v>
      </c>
      <c r="N358" s="9">
        <v>1215.0</v>
      </c>
      <c r="O358" s="13"/>
      <c r="P358" s="9">
        <f t="shared" si="5"/>
        <v>0</v>
      </c>
      <c r="Q358" s="20">
        <f t="shared" si="111"/>
        <v>46012</v>
      </c>
      <c r="R358" s="9" t="str">
        <f t="shared" si="112"/>
        <v>X</v>
      </c>
      <c r="S358" s="19" t="s">
        <v>225</v>
      </c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</row>
    <row r="359">
      <c r="A359" s="13">
        <f t="shared" si="103"/>
        <v>358</v>
      </c>
      <c r="B359" s="9">
        <v>1370.0</v>
      </c>
      <c r="C359" s="13"/>
      <c r="D359" s="13"/>
      <c r="E359" s="13"/>
      <c r="F359" s="13"/>
      <c r="G359" s="13"/>
      <c r="H359" s="10">
        <v>45845.0</v>
      </c>
      <c r="I359" s="13"/>
      <c r="J359" s="14">
        <v>45760.0</v>
      </c>
      <c r="K359" s="9" t="s">
        <v>31</v>
      </c>
      <c r="L359" s="13"/>
      <c r="M359" s="13">
        <f t="shared" si="105"/>
        <v>213</v>
      </c>
      <c r="N359" s="9">
        <v>1237.0</v>
      </c>
      <c r="O359" s="13"/>
      <c r="P359" s="9">
        <f t="shared" si="5"/>
        <v>0</v>
      </c>
      <c r="Q359" s="20">
        <f t="shared" si="111"/>
        <v>46012</v>
      </c>
      <c r="R359" s="9" t="str">
        <f t="shared" si="112"/>
        <v>#REF!</v>
      </c>
      <c r="S359" s="28"/>
      <c r="T359" s="9"/>
      <c r="U359" s="9" t="s">
        <v>43</v>
      </c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</row>
    <row r="360">
      <c r="A360" s="13">
        <f t="shared" si="103"/>
        <v>359</v>
      </c>
      <c r="B360" s="9"/>
      <c r="C360" s="13"/>
      <c r="D360" s="13"/>
      <c r="E360" s="13"/>
      <c r="F360" s="13"/>
      <c r="G360" s="13"/>
      <c r="H360" s="14">
        <v>45761.0</v>
      </c>
      <c r="I360" s="13"/>
      <c r="J360" s="14">
        <v>45761.0</v>
      </c>
      <c r="K360" s="13"/>
      <c r="L360" s="13"/>
      <c r="M360" s="13">
        <f t="shared" si="105"/>
        <v>202</v>
      </c>
      <c r="N360" s="9">
        <v>1223.0</v>
      </c>
      <c r="O360" s="13"/>
      <c r="P360" s="9">
        <f t="shared" si="5"/>
        <v>0</v>
      </c>
      <c r="Q360" s="9"/>
      <c r="R360" s="9" t="str">
        <f t="array" ref="R360">if("m"=K360,"X",if(or(countif(Cull!A:A,B:B)&gt;0,"X"= XLOOKUP(M:M,A:A,R:R)),"X",""))</f>
        <v>#REF!</v>
      </c>
      <c r="S360" s="9" t="s">
        <v>226</v>
      </c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</row>
    <row r="361">
      <c r="A361" s="13">
        <f t="shared" si="103"/>
        <v>360</v>
      </c>
      <c r="B361" s="9">
        <v>1371.0</v>
      </c>
      <c r="C361" s="13"/>
      <c r="D361" s="13"/>
      <c r="E361" s="13"/>
      <c r="F361" s="13"/>
      <c r="G361" s="13"/>
      <c r="H361" s="10">
        <v>45845.0</v>
      </c>
      <c r="I361" s="13"/>
      <c r="J361" s="14">
        <v>45761.0</v>
      </c>
      <c r="K361" s="9" t="s">
        <v>31</v>
      </c>
      <c r="L361" s="13"/>
      <c r="M361" s="13">
        <f t="shared" si="105"/>
        <v>202</v>
      </c>
      <c r="N361" s="9">
        <v>1223.0</v>
      </c>
      <c r="O361" s="13"/>
      <c r="P361" s="9">
        <f t="shared" si="5"/>
        <v>0</v>
      </c>
      <c r="Q361" s="20">
        <f t="array" ref="Q361">today()-xlookup(A361,M:M,J:J,"",0,-1)</f>
        <v>46012</v>
      </c>
      <c r="R361" s="9" t="str">
        <f>if(if("m"=K361,true,countif(Cull!A:A,B:B)&gt;0),"X","")</f>
        <v>#REF!</v>
      </c>
      <c r="S361" s="28"/>
      <c r="T361" s="9"/>
      <c r="U361" s="9" t="s">
        <v>43</v>
      </c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</row>
    <row r="362">
      <c r="A362" s="13">
        <f t="shared" si="103"/>
        <v>361</v>
      </c>
      <c r="B362" s="9">
        <v>1374.0</v>
      </c>
      <c r="C362" s="13"/>
      <c r="D362" s="13"/>
      <c r="E362" s="13"/>
      <c r="F362" s="13"/>
      <c r="G362" s="13"/>
      <c r="H362" s="10">
        <v>45810.0</v>
      </c>
      <c r="I362" s="13"/>
      <c r="J362" s="14">
        <v>45766.0</v>
      </c>
      <c r="K362" s="9" t="s">
        <v>49</v>
      </c>
      <c r="L362" s="13"/>
      <c r="M362" s="13">
        <f t="shared" si="105"/>
        <v>216</v>
      </c>
      <c r="N362" s="9">
        <v>1240.0</v>
      </c>
      <c r="O362" s="13"/>
      <c r="P362" s="9">
        <f t="shared" si="5"/>
        <v>0</v>
      </c>
      <c r="Q362" s="9"/>
      <c r="R362" s="9" t="str">
        <f t="shared" ref="R362:R363" si="113">if("m"=K362,"X",if(or(countif(Cull!A:A,B:B)&gt;0,"X"= XLOOKUP(M:M,A:A,R:R)),"X",""))</f>
        <v>X</v>
      </c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</row>
    <row r="363">
      <c r="A363" s="13">
        <f t="shared" si="103"/>
        <v>362</v>
      </c>
      <c r="B363" s="9">
        <v>1373.0</v>
      </c>
      <c r="C363" s="13"/>
      <c r="D363" s="13"/>
      <c r="E363" s="13"/>
      <c r="F363" s="13"/>
      <c r="G363" s="13"/>
      <c r="H363" s="10">
        <v>45845.0</v>
      </c>
      <c r="I363" s="13"/>
      <c r="J363" s="41">
        <v>45748.0</v>
      </c>
      <c r="K363" s="9" t="s">
        <v>31</v>
      </c>
      <c r="L363" s="13"/>
      <c r="M363" s="13">
        <f t="shared" si="105"/>
        <v>216</v>
      </c>
      <c r="N363" s="9">
        <v>1240.0</v>
      </c>
      <c r="O363" s="13"/>
      <c r="P363" s="13"/>
      <c r="Q363" s="9"/>
      <c r="R363" s="9" t="str">
        <f t="shared" si="113"/>
        <v>#REF!</v>
      </c>
      <c r="S363" s="13"/>
      <c r="T363" s="9"/>
      <c r="U363" s="9" t="s">
        <v>43</v>
      </c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</row>
    <row r="364">
      <c r="A364" s="13">
        <f t="shared" si="103"/>
        <v>363</v>
      </c>
      <c r="B364" s="9">
        <v>1377.0</v>
      </c>
      <c r="J364" s="41">
        <v>45748.0</v>
      </c>
      <c r="K364" s="9" t="s">
        <v>31</v>
      </c>
      <c r="Q364" s="9"/>
      <c r="S364" s="9" t="s">
        <v>166</v>
      </c>
      <c r="T364" s="9" t="s">
        <v>43</v>
      </c>
    </row>
    <row r="365">
      <c r="A365" s="13">
        <f t="shared" si="103"/>
        <v>364</v>
      </c>
      <c r="B365" s="9">
        <v>1378.0</v>
      </c>
      <c r="J365" s="41">
        <v>45748.0</v>
      </c>
      <c r="K365" s="9" t="s">
        <v>31</v>
      </c>
      <c r="Q365" s="9"/>
      <c r="S365" s="9" t="s">
        <v>227</v>
      </c>
      <c r="T365" s="9" t="s">
        <v>43</v>
      </c>
    </row>
    <row r="366">
      <c r="F366" s="18"/>
      <c r="G366" s="12"/>
      <c r="H366" s="18"/>
      <c r="I366" s="12"/>
      <c r="J366" s="10"/>
      <c r="K366" s="13"/>
    </row>
    <row r="367">
      <c r="F367" s="18"/>
      <c r="G367" s="12"/>
      <c r="H367" s="18"/>
      <c r="I367" s="12"/>
      <c r="J367" s="18"/>
      <c r="K367" s="13"/>
    </row>
    <row r="368">
      <c r="F368" s="18"/>
      <c r="G368" s="12"/>
      <c r="H368" s="42"/>
      <c r="I368" s="42"/>
      <c r="J368" s="42"/>
      <c r="K368" s="42"/>
      <c r="L368" s="43"/>
      <c r="M368" s="42"/>
      <c r="N368" s="42"/>
      <c r="O368" s="43"/>
      <c r="P368" s="42"/>
      <c r="Q368" s="42"/>
      <c r="R368" s="42"/>
      <c r="S368" s="42"/>
    </row>
    <row r="369">
      <c r="F369" s="18"/>
      <c r="G369" s="12"/>
      <c r="H369" s="42"/>
      <c r="I369" s="42"/>
      <c r="J369" s="44"/>
      <c r="K369" s="45"/>
      <c r="L369" s="43"/>
      <c r="M369" s="45"/>
      <c r="N369" s="42"/>
      <c r="O369" s="43"/>
      <c r="P369" s="45"/>
      <c r="Q369" s="45"/>
      <c r="R369" s="45"/>
      <c r="S369" s="45"/>
    </row>
    <row r="370">
      <c r="F370" s="18"/>
      <c r="G370" s="12"/>
      <c r="H370" s="18"/>
      <c r="I370" s="12"/>
      <c r="J370" s="18"/>
      <c r="K370" s="13"/>
      <c r="P370" s="46"/>
      <c r="Q370" s="46"/>
      <c r="R370" s="46"/>
      <c r="S370" s="46"/>
    </row>
    <row r="371">
      <c r="F371" s="18"/>
      <c r="G371" s="12"/>
      <c r="H371" s="18"/>
      <c r="I371" s="12"/>
      <c r="J371" s="18"/>
      <c r="K371" s="13"/>
    </row>
    <row r="372">
      <c r="F372" s="18"/>
      <c r="G372" s="12"/>
      <c r="H372" s="18"/>
      <c r="I372" s="12"/>
      <c r="J372" s="18"/>
      <c r="K372" s="13"/>
    </row>
    <row r="373">
      <c r="F373" s="18"/>
      <c r="G373" s="12"/>
      <c r="H373" s="18"/>
      <c r="I373" s="12"/>
      <c r="J373" s="18"/>
      <c r="K373" s="13"/>
    </row>
    <row r="374">
      <c r="F374" s="18"/>
      <c r="G374" s="12"/>
      <c r="H374" s="18"/>
      <c r="I374" s="12"/>
      <c r="J374" s="18"/>
      <c r="K374" s="13"/>
    </row>
    <row r="375">
      <c r="F375" s="18"/>
      <c r="G375" s="12"/>
      <c r="H375" s="18"/>
      <c r="I375" s="12"/>
      <c r="J375" s="18"/>
      <c r="K375" s="13"/>
    </row>
    <row r="376">
      <c r="F376" s="18"/>
      <c r="G376" s="12"/>
      <c r="H376" s="18"/>
      <c r="I376" s="12"/>
      <c r="J376" s="18"/>
      <c r="K376" s="13"/>
    </row>
    <row r="377">
      <c r="F377" s="18"/>
      <c r="G377" s="12"/>
      <c r="H377" s="18"/>
      <c r="I377" s="12"/>
      <c r="J377" s="18"/>
      <c r="K377" s="13"/>
    </row>
    <row r="378">
      <c r="F378" s="18"/>
      <c r="G378" s="12"/>
      <c r="H378" s="18"/>
      <c r="I378" s="12"/>
      <c r="J378" s="18"/>
      <c r="K378" s="13"/>
    </row>
    <row r="379">
      <c r="F379" s="18"/>
      <c r="G379" s="12"/>
      <c r="H379" s="18"/>
      <c r="I379" s="12"/>
      <c r="J379" s="18"/>
      <c r="K379" s="13"/>
    </row>
    <row r="380">
      <c r="F380" s="18"/>
      <c r="G380" s="12"/>
      <c r="H380" s="18"/>
      <c r="I380" s="12"/>
      <c r="J380" s="18"/>
      <c r="K380" s="13"/>
    </row>
    <row r="381">
      <c r="F381" s="18"/>
      <c r="G381" s="12"/>
      <c r="H381" s="18"/>
      <c r="I381" s="12"/>
      <c r="J381" s="18"/>
      <c r="K381" s="13"/>
    </row>
    <row r="382">
      <c r="F382" s="18"/>
      <c r="G382" s="12"/>
      <c r="H382" s="18"/>
      <c r="I382" s="12"/>
      <c r="J382" s="18"/>
      <c r="K382" s="13"/>
    </row>
    <row r="383">
      <c r="F383" s="18"/>
      <c r="G383" s="12"/>
      <c r="H383" s="18"/>
      <c r="I383" s="12"/>
      <c r="J383" s="18"/>
      <c r="K383" s="13"/>
    </row>
    <row r="384">
      <c r="F384" s="18"/>
      <c r="G384" s="12"/>
      <c r="H384" s="18"/>
      <c r="I384" s="12"/>
      <c r="J384" s="18"/>
      <c r="K384" s="13"/>
    </row>
    <row r="385">
      <c r="F385" s="18"/>
      <c r="G385" s="12"/>
      <c r="H385" s="18"/>
      <c r="I385" s="12"/>
      <c r="J385" s="18"/>
      <c r="K385" s="13"/>
    </row>
    <row r="386">
      <c r="F386" s="18"/>
      <c r="G386" s="12"/>
      <c r="H386" s="18"/>
      <c r="I386" s="12"/>
      <c r="J386" s="18"/>
      <c r="K386" s="13"/>
    </row>
    <row r="387">
      <c r="F387" s="18"/>
      <c r="G387" s="12"/>
      <c r="H387" s="18"/>
      <c r="I387" s="12"/>
      <c r="J387" s="18"/>
      <c r="K387" s="13"/>
    </row>
    <row r="388">
      <c r="F388" s="18"/>
      <c r="G388" s="12"/>
      <c r="H388" s="18"/>
      <c r="I388" s="12"/>
      <c r="J388" s="18"/>
      <c r="K388" s="13"/>
    </row>
    <row r="389">
      <c r="F389" s="18"/>
      <c r="G389" s="12"/>
      <c r="H389" s="18"/>
      <c r="I389" s="12"/>
      <c r="J389" s="18"/>
      <c r="K389" s="13"/>
    </row>
    <row r="390">
      <c r="F390" s="18"/>
      <c r="G390" s="12"/>
      <c r="H390" s="18"/>
      <c r="I390" s="12"/>
      <c r="J390" s="18"/>
      <c r="K390" s="13"/>
    </row>
    <row r="391">
      <c r="F391" s="18"/>
      <c r="G391" s="12"/>
      <c r="H391" s="18"/>
      <c r="I391" s="12"/>
      <c r="J391" s="18"/>
      <c r="K391" s="13"/>
    </row>
    <row r="392">
      <c r="F392" s="18"/>
      <c r="G392" s="12"/>
      <c r="H392" s="18"/>
      <c r="I392" s="12"/>
      <c r="J392" s="18"/>
      <c r="K392" s="13"/>
    </row>
    <row r="393">
      <c r="F393" s="18"/>
      <c r="G393" s="12"/>
      <c r="H393" s="18"/>
      <c r="I393" s="12"/>
      <c r="J393" s="18"/>
      <c r="K393" s="13"/>
    </row>
    <row r="394">
      <c r="F394" s="18"/>
      <c r="G394" s="12"/>
      <c r="H394" s="18"/>
      <c r="I394" s="12"/>
      <c r="J394" s="18"/>
      <c r="K394" s="13"/>
    </row>
    <row r="395">
      <c r="F395" s="18"/>
      <c r="G395" s="12"/>
      <c r="H395" s="18"/>
      <c r="I395" s="12"/>
      <c r="J395" s="18"/>
      <c r="K395" s="13"/>
    </row>
    <row r="396">
      <c r="F396" s="18"/>
      <c r="G396" s="12"/>
      <c r="H396" s="18"/>
      <c r="I396" s="12"/>
      <c r="J396" s="18"/>
      <c r="K396" s="13"/>
    </row>
    <row r="397">
      <c r="F397" s="18"/>
      <c r="G397" s="12"/>
      <c r="H397" s="18"/>
      <c r="I397" s="12"/>
      <c r="J397" s="18"/>
      <c r="K397" s="13"/>
    </row>
    <row r="398">
      <c r="F398" s="18"/>
      <c r="G398" s="12"/>
      <c r="H398" s="18"/>
      <c r="I398" s="12"/>
      <c r="J398" s="18"/>
      <c r="K398" s="13"/>
    </row>
    <row r="399">
      <c r="F399" s="18"/>
      <c r="G399" s="12"/>
      <c r="H399" s="18"/>
      <c r="I399" s="12"/>
      <c r="J399" s="18"/>
      <c r="K399" s="13"/>
    </row>
    <row r="400">
      <c r="F400" s="18"/>
      <c r="G400" s="12"/>
      <c r="H400" s="18"/>
      <c r="I400" s="12"/>
      <c r="J400" s="18"/>
      <c r="K400" s="13"/>
    </row>
    <row r="401">
      <c r="F401" s="18"/>
      <c r="G401" s="12"/>
      <c r="H401" s="18"/>
      <c r="I401" s="12"/>
      <c r="J401" s="18"/>
      <c r="K401" s="13"/>
    </row>
    <row r="402">
      <c r="F402" s="18"/>
      <c r="G402" s="12"/>
      <c r="H402" s="18"/>
      <c r="I402" s="12"/>
      <c r="J402" s="18"/>
      <c r="K402" s="13"/>
    </row>
    <row r="403">
      <c r="F403" s="18"/>
      <c r="G403" s="12"/>
      <c r="H403" s="18"/>
      <c r="I403" s="12"/>
      <c r="J403" s="18"/>
      <c r="K403" s="13"/>
    </row>
    <row r="404">
      <c r="F404" s="18"/>
      <c r="G404" s="12"/>
      <c r="H404" s="18"/>
      <c r="I404" s="12"/>
      <c r="J404" s="18"/>
      <c r="K404" s="13"/>
    </row>
    <row r="405">
      <c r="F405" s="18"/>
      <c r="G405" s="12"/>
      <c r="H405" s="18"/>
      <c r="I405" s="12"/>
      <c r="J405" s="18"/>
      <c r="K405" s="13"/>
    </row>
    <row r="406">
      <c r="F406" s="18"/>
      <c r="G406" s="12"/>
      <c r="H406" s="18"/>
      <c r="I406" s="12"/>
      <c r="J406" s="18"/>
      <c r="K406" s="13"/>
    </row>
    <row r="407">
      <c r="F407" s="18"/>
      <c r="G407" s="12"/>
      <c r="H407" s="18"/>
      <c r="I407" s="12"/>
      <c r="J407" s="18"/>
      <c r="K407" s="13"/>
    </row>
    <row r="408">
      <c r="F408" s="18"/>
      <c r="G408" s="12"/>
      <c r="H408" s="18"/>
      <c r="I408" s="12"/>
      <c r="J408" s="18"/>
      <c r="K408" s="13"/>
    </row>
    <row r="409">
      <c r="F409" s="18"/>
      <c r="G409" s="12"/>
      <c r="H409" s="18"/>
      <c r="I409" s="12"/>
      <c r="J409" s="18"/>
      <c r="K409" s="13"/>
    </row>
    <row r="410">
      <c r="F410" s="18"/>
      <c r="G410" s="12"/>
      <c r="H410" s="18"/>
      <c r="I410" s="12"/>
      <c r="J410" s="18"/>
      <c r="K410" s="13"/>
    </row>
    <row r="411">
      <c r="F411" s="18"/>
      <c r="G411" s="12"/>
      <c r="H411" s="18"/>
      <c r="I411" s="12"/>
      <c r="J411" s="18"/>
      <c r="K411" s="13"/>
    </row>
    <row r="412">
      <c r="F412" s="18"/>
      <c r="G412" s="12"/>
      <c r="H412" s="18"/>
      <c r="I412" s="12"/>
      <c r="J412" s="18"/>
      <c r="K412" s="13"/>
    </row>
    <row r="413">
      <c r="F413" s="18"/>
      <c r="G413" s="12"/>
      <c r="H413" s="18"/>
      <c r="I413" s="12"/>
      <c r="J413" s="18"/>
      <c r="K413" s="13"/>
    </row>
    <row r="414">
      <c r="F414" s="18"/>
      <c r="G414" s="12"/>
      <c r="H414" s="18"/>
      <c r="I414" s="12"/>
      <c r="J414" s="18"/>
      <c r="K414" s="13"/>
    </row>
    <row r="415">
      <c r="F415" s="18"/>
      <c r="G415" s="12"/>
      <c r="H415" s="18"/>
      <c r="I415" s="12"/>
      <c r="J415" s="18"/>
      <c r="K415" s="13"/>
    </row>
    <row r="416">
      <c r="F416" s="18"/>
      <c r="G416" s="12"/>
      <c r="H416" s="18"/>
      <c r="I416" s="12"/>
      <c r="J416" s="18"/>
      <c r="K416" s="13"/>
    </row>
    <row r="417">
      <c r="F417" s="18"/>
      <c r="G417" s="12"/>
      <c r="H417" s="18"/>
      <c r="I417" s="12"/>
      <c r="J417" s="18"/>
      <c r="K417" s="13"/>
    </row>
    <row r="418">
      <c r="F418" s="18"/>
      <c r="G418" s="12"/>
      <c r="H418" s="18"/>
      <c r="I418" s="12"/>
      <c r="J418" s="18"/>
      <c r="K418" s="13"/>
    </row>
    <row r="419">
      <c r="F419" s="18"/>
      <c r="G419" s="12"/>
      <c r="H419" s="18"/>
      <c r="I419" s="12"/>
      <c r="J419" s="18"/>
      <c r="K419" s="13"/>
    </row>
    <row r="420">
      <c r="F420" s="18"/>
      <c r="G420" s="12"/>
      <c r="H420" s="18"/>
      <c r="I420" s="12"/>
      <c r="J420" s="18"/>
      <c r="K420" s="13"/>
    </row>
    <row r="421">
      <c r="F421" s="18"/>
      <c r="G421" s="12"/>
      <c r="H421" s="18"/>
      <c r="I421" s="12"/>
      <c r="J421" s="18"/>
      <c r="K421" s="13"/>
    </row>
    <row r="422">
      <c r="F422" s="18"/>
      <c r="G422" s="12"/>
      <c r="H422" s="18"/>
      <c r="I422" s="12"/>
      <c r="J422" s="18"/>
      <c r="K422" s="13"/>
    </row>
    <row r="423">
      <c r="F423" s="18"/>
      <c r="G423" s="12"/>
      <c r="H423" s="18"/>
      <c r="I423" s="12"/>
      <c r="J423" s="18"/>
      <c r="K423" s="13"/>
    </row>
    <row r="424">
      <c r="F424" s="18"/>
      <c r="G424" s="12"/>
      <c r="H424" s="18"/>
      <c r="I424" s="12"/>
      <c r="J424" s="18"/>
      <c r="K424" s="13"/>
    </row>
    <row r="425">
      <c r="F425" s="18"/>
      <c r="G425" s="12"/>
      <c r="H425" s="18"/>
      <c r="I425" s="12"/>
      <c r="J425" s="18"/>
      <c r="K425" s="13"/>
    </row>
    <row r="426">
      <c r="F426" s="18"/>
      <c r="G426" s="12"/>
      <c r="H426" s="18"/>
      <c r="I426" s="12"/>
      <c r="J426" s="18"/>
      <c r="K426" s="13"/>
    </row>
    <row r="427">
      <c r="F427" s="18"/>
      <c r="G427" s="12"/>
      <c r="H427" s="18"/>
      <c r="I427" s="12"/>
      <c r="J427" s="18"/>
      <c r="K427" s="13"/>
    </row>
    <row r="428">
      <c r="F428" s="18"/>
      <c r="G428" s="12"/>
      <c r="H428" s="18"/>
      <c r="I428" s="12"/>
      <c r="J428" s="18"/>
      <c r="K428" s="13"/>
    </row>
    <row r="429">
      <c r="F429" s="18"/>
      <c r="G429" s="12"/>
      <c r="H429" s="18"/>
      <c r="I429" s="12"/>
      <c r="J429" s="18"/>
      <c r="K429" s="13"/>
    </row>
    <row r="430">
      <c r="F430" s="18"/>
      <c r="G430" s="12"/>
      <c r="H430" s="18"/>
      <c r="I430" s="12"/>
      <c r="J430" s="18"/>
      <c r="K430" s="13"/>
    </row>
    <row r="431">
      <c r="F431" s="18"/>
      <c r="G431" s="12"/>
      <c r="H431" s="18"/>
      <c r="I431" s="12"/>
      <c r="J431" s="18"/>
      <c r="K431" s="13"/>
    </row>
    <row r="432">
      <c r="F432" s="18"/>
      <c r="G432" s="12"/>
      <c r="H432" s="18"/>
      <c r="I432" s="12"/>
      <c r="J432" s="18"/>
      <c r="K432" s="13"/>
    </row>
    <row r="433">
      <c r="F433" s="18"/>
      <c r="G433" s="12"/>
      <c r="H433" s="18"/>
      <c r="I433" s="12"/>
      <c r="J433" s="18"/>
      <c r="K433" s="13"/>
    </row>
    <row r="434">
      <c r="F434" s="18"/>
      <c r="G434" s="12"/>
      <c r="H434" s="18"/>
      <c r="I434" s="12"/>
      <c r="J434" s="18"/>
      <c r="K434" s="13"/>
    </row>
    <row r="435">
      <c r="F435" s="18"/>
      <c r="G435" s="12"/>
      <c r="H435" s="18"/>
      <c r="I435" s="12"/>
      <c r="J435" s="18"/>
      <c r="K435" s="13"/>
    </row>
    <row r="436">
      <c r="F436" s="18"/>
      <c r="G436" s="12"/>
      <c r="H436" s="18"/>
      <c r="I436" s="12"/>
      <c r="J436" s="18"/>
      <c r="K436" s="13"/>
    </row>
    <row r="437">
      <c r="F437" s="18"/>
      <c r="G437" s="12"/>
      <c r="H437" s="18"/>
      <c r="I437" s="12"/>
      <c r="J437" s="18"/>
      <c r="K437" s="13"/>
    </row>
    <row r="438">
      <c r="F438" s="18"/>
      <c r="G438" s="12"/>
      <c r="H438" s="18"/>
      <c r="I438" s="12"/>
      <c r="J438" s="18"/>
      <c r="K438" s="13"/>
    </row>
    <row r="439">
      <c r="F439" s="18"/>
      <c r="G439" s="12"/>
      <c r="H439" s="18"/>
      <c r="I439" s="12"/>
      <c r="J439" s="18"/>
      <c r="K439" s="13"/>
    </row>
    <row r="440">
      <c r="F440" s="18"/>
      <c r="G440" s="12"/>
      <c r="H440" s="18"/>
      <c r="I440" s="12"/>
      <c r="J440" s="18"/>
      <c r="K440" s="13"/>
    </row>
    <row r="441">
      <c r="F441" s="18"/>
      <c r="G441" s="12"/>
      <c r="H441" s="18"/>
      <c r="I441" s="12"/>
      <c r="J441" s="18"/>
      <c r="K441" s="13"/>
    </row>
    <row r="442">
      <c r="F442" s="18"/>
      <c r="G442" s="12"/>
      <c r="H442" s="18"/>
      <c r="I442" s="12"/>
      <c r="J442" s="18"/>
      <c r="K442" s="13"/>
    </row>
    <row r="443">
      <c r="F443" s="18"/>
      <c r="G443" s="12"/>
      <c r="H443" s="18"/>
      <c r="I443" s="12"/>
      <c r="J443" s="18"/>
      <c r="K443" s="13"/>
    </row>
    <row r="444">
      <c r="F444" s="18"/>
      <c r="G444" s="12"/>
      <c r="H444" s="18"/>
      <c r="I444" s="12"/>
      <c r="J444" s="18"/>
      <c r="K444" s="13"/>
    </row>
    <row r="445">
      <c r="F445" s="18"/>
      <c r="G445" s="12"/>
      <c r="H445" s="18"/>
      <c r="I445" s="12"/>
      <c r="J445" s="18"/>
      <c r="K445" s="13"/>
    </row>
    <row r="446">
      <c r="F446" s="18"/>
      <c r="G446" s="12"/>
      <c r="H446" s="18"/>
      <c r="I446" s="12"/>
      <c r="J446" s="18"/>
      <c r="K446" s="13"/>
    </row>
    <row r="447">
      <c r="F447" s="18"/>
      <c r="G447" s="12"/>
      <c r="H447" s="18"/>
      <c r="I447" s="12"/>
      <c r="J447" s="18"/>
      <c r="K447" s="13"/>
    </row>
    <row r="448">
      <c r="F448" s="18"/>
      <c r="G448" s="12"/>
      <c r="H448" s="18"/>
      <c r="I448" s="12"/>
      <c r="J448" s="18"/>
      <c r="K448" s="13"/>
    </row>
    <row r="449">
      <c r="F449" s="18"/>
      <c r="G449" s="12"/>
      <c r="H449" s="18"/>
      <c r="I449" s="12"/>
      <c r="J449" s="18"/>
      <c r="K449" s="13"/>
    </row>
    <row r="450">
      <c r="F450" s="18"/>
      <c r="G450" s="12"/>
      <c r="H450" s="18"/>
      <c r="I450" s="12"/>
      <c r="J450" s="18"/>
      <c r="K450" s="13"/>
    </row>
    <row r="451">
      <c r="F451" s="18"/>
      <c r="G451" s="12"/>
      <c r="H451" s="18"/>
      <c r="I451" s="12"/>
      <c r="J451" s="18"/>
      <c r="K451" s="13"/>
    </row>
    <row r="452">
      <c r="F452" s="18"/>
      <c r="G452" s="12"/>
      <c r="H452" s="18"/>
      <c r="I452" s="12"/>
      <c r="J452" s="18"/>
      <c r="K452" s="13"/>
    </row>
    <row r="453">
      <c r="F453" s="18"/>
      <c r="G453" s="12"/>
      <c r="H453" s="18"/>
      <c r="I453" s="12"/>
      <c r="J453" s="18"/>
      <c r="K453" s="13"/>
    </row>
    <row r="454">
      <c r="F454" s="18"/>
      <c r="G454" s="12"/>
      <c r="H454" s="18"/>
      <c r="I454" s="12"/>
      <c r="J454" s="18"/>
      <c r="K454" s="13"/>
    </row>
    <row r="455">
      <c r="F455" s="18"/>
      <c r="G455" s="12"/>
      <c r="H455" s="18"/>
      <c r="I455" s="12"/>
      <c r="J455" s="18"/>
      <c r="K455" s="13"/>
    </row>
    <row r="456">
      <c r="F456" s="18"/>
      <c r="G456" s="12"/>
      <c r="H456" s="18"/>
      <c r="I456" s="12"/>
      <c r="J456" s="18"/>
      <c r="K456" s="13"/>
    </row>
    <row r="457">
      <c r="F457" s="18"/>
      <c r="G457" s="12"/>
      <c r="H457" s="18"/>
      <c r="I457" s="12"/>
      <c r="J457" s="18"/>
      <c r="K457" s="13"/>
    </row>
    <row r="458">
      <c r="F458" s="18"/>
      <c r="G458" s="12"/>
      <c r="H458" s="18"/>
      <c r="I458" s="12"/>
      <c r="J458" s="18"/>
      <c r="K458" s="13"/>
    </row>
    <row r="459">
      <c r="F459" s="18"/>
      <c r="G459" s="12"/>
      <c r="H459" s="18"/>
      <c r="I459" s="12"/>
      <c r="J459" s="18"/>
      <c r="K459" s="13"/>
    </row>
    <row r="460">
      <c r="F460" s="18"/>
      <c r="G460" s="12"/>
      <c r="H460" s="18"/>
      <c r="I460" s="12"/>
      <c r="J460" s="18"/>
      <c r="K460" s="13"/>
    </row>
    <row r="461">
      <c r="F461" s="18"/>
      <c r="G461" s="12"/>
      <c r="H461" s="18"/>
      <c r="I461" s="12"/>
      <c r="J461" s="18"/>
      <c r="K461" s="13"/>
    </row>
    <row r="462">
      <c r="F462" s="18"/>
      <c r="G462" s="12"/>
      <c r="H462" s="18"/>
      <c r="I462" s="12"/>
      <c r="J462" s="18"/>
      <c r="K462" s="13"/>
    </row>
    <row r="463">
      <c r="F463" s="18"/>
      <c r="G463" s="12"/>
      <c r="H463" s="18"/>
      <c r="I463" s="12"/>
      <c r="J463" s="18"/>
      <c r="K463" s="13"/>
    </row>
    <row r="464">
      <c r="F464" s="18"/>
      <c r="G464" s="12"/>
      <c r="H464" s="18"/>
      <c r="I464" s="12"/>
      <c r="J464" s="18"/>
      <c r="K464" s="13"/>
    </row>
    <row r="465">
      <c r="F465" s="18"/>
      <c r="G465" s="12"/>
      <c r="H465" s="18"/>
      <c r="I465" s="12"/>
      <c r="J465" s="18"/>
      <c r="K465" s="13"/>
    </row>
    <row r="466">
      <c r="F466" s="18"/>
      <c r="G466" s="12"/>
      <c r="H466" s="18"/>
      <c r="I466" s="12"/>
      <c r="J466" s="18"/>
      <c r="K466" s="13"/>
    </row>
    <row r="467">
      <c r="F467" s="18"/>
      <c r="G467" s="12"/>
      <c r="H467" s="18"/>
      <c r="I467" s="12"/>
      <c r="J467" s="18"/>
      <c r="K467" s="13"/>
    </row>
    <row r="468">
      <c r="F468" s="18"/>
      <c r="G468" s="12"/>
      <c r="H468" s="18"/>
      <c r="I468" s="12"/>
      <c r="J468" s="18"/>
      <c r="K468" s="13"/>
    </row>
    <row r="469">
      <c r="F469" s="18"/>
      <c r="G469" s="12"/>
      <c r="H469" s="18"/>
      <c r="I469" s="12"/>
      <c r="J469" s="18"/>
      <c r="K469" s="13"/>
    </row>
    <row r="470">
      <c r="F470" s="18"/>
      <c r="G470" s="12"/>
      <c r="H470" s="18"/>
      <c r="I470" s="12"/>
      <c r="J470" s="18"/>
      <c r="K470" s="13"/>
    </row>
    <row r="471">
      <c r="F471" s="18"/>
      <c r="G471" s="12"/>
      <c r="H471" s="18"/>
      <c r="I471" s="12"/>
      <c r="J471" s="18"/>
      <c r="K471" s="13"/>
    </row>
    <row r="472">
      <c r="F472" s="18"/>
      <c r="G472" s="12"/>
      <c r="H472" s="18"/>
      <c r="I472" s="12"/>
      <c r="J472" s="18"/>
      <c r="K472" s="13"/>
    </row>
    <row r="473">
      <c r="F473" s="18"/>
      <c r="G473" s="12"/>
      <c r="H473" s="18"/>
      <c r="I473" s="12"/>
      <c r="J473" s="18"/>
      <c r="K473" s="13"/>
    </row>
    <row r="474">
      <c r="F474" s="18"/>
      <c r="G474" s="12"/>
      <c r="H474" s="18"/>
      <c r="I474" s="12"/>
      <c r="J474" s="18"/>
      <c r="K474" s="13"/>
    </row>
    <row r="475">
      <c r="F475" s="18"/>
      <c r="G475" s="12"/>
      <c r="H475" s="18"/>
      <c r="I475" s="12"/>
      <c r="J475" s="18"/>
      <c r="K475" s="13"/>
    </row>
    <row r="476">
      <c r="F476" s="18"/>
      <c r="G476" s="12"/>
      <c r="H476" s="18"/>
      <c r="I476" s="12"/>
      <c r="J476" s="18"/>
      <c r="K476" s="13"/>
    </row>
    <row r="477">
      <c r="F477" s="18"/>
      <c r="G477" s="12"/>
      <c r="H477" s="18"/>
      <c r="I477" s="12"/>
      <c r="J477" s="18"/>
      <c r="K477" s="13"/>
    </row>
    <row r="478">
      <c r="F478" s="18"/>
      <c r="G478" s="12"/>
      <c r="H478" s="18"/>
      <c r="I478" s="12"/>
      <c r="J478" s="18"/>
      <c r="K478" s="13"/>
    </row>
    <row r="479">
      <c r="F479" s="18"/>
      <c r="G479" s="12"/>
      <c r="H479" s="18"/>
      <c r="I479" s="12"/>
      <c r="J479" s="18"/>
      <c r="K479" s="13"/>
    </row>
    <row r="480">
      <c r="F480" s="18"/>
      <c r="G480" s="12"/>
      <c r="H480" s="18"/>
      <c r="I480" s="12"/>
      <c r="J480" s="18"/>
      <c r="K480" s="13"/>
    </row>
    <row r="481">
      <c r="F481" s="18"/>
      <c r="G481" s="12"/>
      <c r="H481" s="18"/>
      <c r="I481" s="12"/>
      <c r="J481" s="18"/>
      <c r="K481" s="13"/>
    </row>
    <row r="482">
      <c r="F482" s="18"/>
      <c r="G482" s="12"/>
      <c r="H482" s="18"/>
      <c r="I482" s="12"/>
      <c r="J482" s="18"/>
      <c r="K482" s="13"/>
    </row>
    <row r="483">
      <c r="F483" s="18"/>
      <c r="G483" s="12"/>
      <c r="H483" s="18"/>
      <c r="I483" s="12"/>
      <c r="J483" s="18"/>
      <c r="K483" s="13"/>
    </row>
    <row r="484">
      <c r="F484" s="18"/>
      <c r="G484" s="12"/>
      <c r="H484" s="18"/>
      <c r="I484" s="12"/>
      <c r="J484" s="18"/>
      <c r="K484" s="13"/>
    </row>
    <row r="485">
      <c r="F485" s="18"/>
      <c r="G485" s="12"/>
      <c r="H485" s="18"/>
      <c r="I485" s="12"/>
      <c r="J485" s="18"/>
      <c r="K485" s="13"/>
    </row>
    <row r="486">
      <c r="F486" s="18"/>
      <c r="G486" s="12"/>
      <c r="H486" s="18"/>
      <c r="I486" s="12"/>
      <c r="J486" s="18"/>
      <c r="K486" s="13"/>
    </row>
    <row r="487">
      <c r="F487" s="18"/>
      <c r="G487" s="12"/>
      <c r="H487" s="18"/>
      <c r="I487" s="12"/>
      <c r="J487" s="18"/>
      <c r="K487" s="13"/>
    </row>
    <row r="488">
      <c r="F488" s="18"/>
      <c r="G488" s="12"/>
      <c r="H488" s="18"/>
      <c r="I488" s="12"/>
      <c r="J488" s="18"/>
      <c r="K488" s="13"/>
    </row>
    <row r="489">
      <c r="F489" s="18"/>
      <c r="G489" s="12"/>
      <c r="H489" s="18"/>
      <c r="I489" s="12"/>
      <c r="J489" s="18"/>
      <c r="K489" s="13"/>
    </row>
    <row r="490">
      <c r="F490" s="18"/>
      <c r="G490" s="12"/>
      <c r="H490" s="18"/>
      <c r="I490" s="12"/>
      <c r="J490" s="18"/>
      <c r="K490" s="13"/>
    </row>
    <row r="491">
      <c r="F491" s="18"/>
      <c r="G491" s="12"/>
      <c r="H491" s="18"/>
      <c r="I491" s="12"/>
      <c r="J491" s="18"/>
      <c r="K491" s="13"/>
    </row>
    <row r="492">
      <c r="F492" s="18"/>
      <c r="G492" s="12"/>
      <c r="H492" s="18"/>
      <c r="I492" s="12"/>
      <c r="J492" s="18"/>
      <c r="K492" s="13"/>
    </row>
    <row r="493">
      <c r="F493" s="18"/>
      <c r="G493" s="12"/>
      <c r="H493" s="18"/>
      <c r="I493" s="12"/>
      <c r="J493" s="18"/>
      <c r="K493" s="13"/>
    </row>
    <row r="494">
      <c r="F494" s="18"/>
      <c r="G494" s="12"/>
      <c r="H494" s="18"/>
      <c r="I494" s="12"/>
      <c r="J494" s="18"/>
      <c r="K494" s="13"/>
    </row>
    <row r="495">
      <c r="F495" s="18"/>
      <c r="G495" s="12"/>
      <c r="H495" s="18"/>
      <c r="I495" s="12"/>
      <c r="J495" s="18"/>
      <c r="K495" s="13"/>
    </row>
    <row r="496">
      <c r="F496" s="18"/>
      <c r="G496" s="12"/>
      <c r="H496" s="18"/>
      <c r="I496" s="12"/>
      <c r="J496" s="18"/>
      <c r="K496" s="13"/>
    </row>
    <row r="497">
      <c r="F497" s="18"/>
      <c r="G497" s="12"/>
      <c r="H497" s="18"/>
      <c r="I497" s="12"/>
      <c r="J497" s="18"/>
      <c r="K497" s="13"/>
    </row>
    <row r="498">
      <c r="F498" s="18"/>
      <c r="G498" s="12"/>
      <c r="H498" s="18"/>
      <c r="I498" s="12"/>
      <c r="J498" s="18"/>
      <c r="K498" s="13"/>
    </row>
    <row r="499">
      <c r="F499" s="18"/>
      <c r="G499" s="12"/>
      <c r="H499" s="18"/>
      <c r="I499" s="12"/>
      <c r="J499" s="18"/>
      <c r="K499" s="13"/>
    </row>
    <row r="500">
      <c r="F500" s="18"/>
      <c r="G500" s="12"/>
      <c r="H500" s="18"/>
      <c r="I500" s="12"/>
      <c r="J500" s="18"/>
      <c r="K500" s="13"/>
    </row>
    <row r="501">
      <c r="F501" s="18"/>
      <c r="G501" s="12"/>
      <c r="H501" s="18"/>
      <c r="I501" s="12"/>
      <c r="J501" s="18"/>
      <c r="K501" s="13"/>
    </row>
    <row r="502">
      <c r="F502" s="18"/>
      <c r="G502" s="12"/>
      <c r="H502" s="18"/>
      <c r="I502" s="12"/>
      <c r="J502" s="18"/>
      <c r="K502" s="13"/>
    </row>
    <row r="503">
      <c r="F503" s="18"/>
      <c r="G503" s="12"/>
      <c r="H503" s="18"/>
      <c r="I503" s="12"/>
      <c r="J503" s="18"/>
      <c r="K503" s="13"/>
    </row>
    <row r="504">
      <c r="F504" s="18"/>
      <c r="G504" s="12"/>
      <c r="H504" s="18"/>
      <c r="I504" s="12"/>
      <c r="J504" s="18"/>
      <c r="K504" s="13"/>
    </row>
    <row r="505">
      <c r="F505" s="18"/>
      <c r="G505" s="12"/>
      <c r="H505" s="18"/>
      <c r="I505" s="12"/>
      <c r="J505" s="18"/>
      <c r="K505" s="13"/>
    </row>
    <row r="506">
      <c r="F506" s="18"/>
      <c r="G506" s="12"/>
      <c r="H506" s="18"/>
      <c r="I506" s="12"/>
      <c r="J506" s="18"/>
      <c r="K506" s="13"/>
    </row>
    <row r="507">
      <c r="F507" s="18"/>
      <c r="G507" s="12"/>
      <c r="H507" s="18"/>
      <c r="I507" s="12"/>
      <c r="J507" s="18"/>
      <c r="K507" s="13"/>
    </row>
    <row r="508">
      <c r="F508" s="18"/>
      <c r="G508" s="12"/>
      <c r="H508" s="18"/>
      <c r="I508" s="12"/>
      <c r="J508" s="18"/>
      <c r="K508" s="13"/>
    </row>
    <row r="509">
      <c r="F509" s="18"/>
      <c r="G509" s="12"/>
      <c r="H509" s="18"/>
      <c r="I509" s="12"/>
      <c r="J509" s="18"/>
      <c r="K509" s="13"/>
    </row>
    <row r="510">
      <c r="F510" s="18"/>
      <c r="G510" s="12"/>
      <c r="H510" s="18"/>
      <c r="I510" s="12"/>
      <c r="J510" s="18"/>
      <c r="K510" s="13"/>
    </row>
    <row r="511">
      <c r="F511" s="18"/>
      <c r="G511" s="12"/>
      <c r="H511" s="18"/>
      <c r="I511" s="12"/>
      <c r="J511" s="18"/>
      <c r="K511" s="13"/>
    </row>
    <row r="512">
      <c r="F512" s="18"/>
      <c r="G512" s="12"/>
      <c r="H512" s="18"/>
      <c r="I512" s="12"/>
      <c r="J512" s="18"/>
      <c r="K512" s="13"/>
    </row>
    <row r="513">
      <c r="F513" s="18"/>
      <c r="G513" s="12"/>
      <c r="H513" s="18"/>
      <c r="I513" s="12"/>
      <c r="J513" s="18"/>
      <c r="K513" s="13"/>
    </row>
    <row r="514">
      <c r="F514" s="18"/>
      <c r="G514" s="12"/>
      <c r="H514" s="18"/>
      <c r="I514" s="12"/>
      <c r="J514" s="18"/>
      <c r="K514" s="13"/>
    </row>
    <row r="515">
      <c r="F515" s="18"/>
      <c r="G515" s="12"/>
      <c r="H515" s="18"/>
      <c r="I515" s="12"/>
      <c r="J515" s="18"/>
      <c r="K515" s="13"/>
    </row>
    <row r="516">
      <c r="F516" s="18"/>
      <c r="G516" s="12"/>
      <c r="H516" s="18"/>
      <c r="I516" s="12"/>
      <c r="J516" s="18"/>
      <c r="K516" s="13"/>
    </row>
    <row r="517">
      <c r="F517" s="18"/>
      <c r="G517" s="12"/>
      <c r="H517" s="18"/>
      <c r="I517" s="12"/>
      <c r="J517" s="18"/>
      <c r="K517" s="13"/>
    </row>
    <row r="518">
      <c r="F518" s="18"/>
      <c r="G518" s="12"/>
      <c r="H518" s="18"/>
      <c r="I518" s="12"/>
      <c r="J518" s="18"/>
      <c r="K518" s="13"/>
    </row>
    <row r="519">
      <c r="F519" s="18"/>
      <c r="G519" s="12"/>
      <c r="H519" s="18"/>
      <c r="I519" s="12"/>
      <c r="J519" s="18"/>
      <c r="K519" s="13"/>
    </row>
    <row r="520">
      <c r="F520" s="18"/>
      <c r="G520" s="12"/>
      <c r="H520" s="18"/>
      <c r="I520" s="12"/>
      <c r="J520" s="18"/>
      <c r="K520" s="13"/>
    </row>
    <row r="521">
      <c r="F521" s="18"/>
      <c r="G521" s="12"/>
      <c r="H521" s="18"/>
      <c r="I521" s="12"/>
      <c r="J521" s="18"/>
      <c r="K521" s="13"/>
    </row>
    <row r="522">
      <c r="F522" s="18"/>
      <c r="G522" s="12"/>
      <c r="H522" s="18"/>
      <c r="I522" s="12"/>
      <c r="J522" s="18"/>
      <c r="K522" s="13"/>
    </row>
    <row r="523">
      <c r="F523" s="18"/>
      <c r="G523" s="12"/>
      <c r="H523" s="18"/>
      <c r="I523" s="12"/>
      <c r="J523" s="18"/>
      <c r="K523" s="13"/>
    </row>
    <row r="524">
      <c r="F524" s="18"/>
      <c r="G524" s="12"/>
      <c r="H524" s="18"/>
      <c r="I524" s="12"/>
      <c r="J524" s="18"/>
      <c r="K524" s="13"/>
    </row>
    <row r="525">
      <c r="F525" s="18"/>
      <c r="G525" s="12"/>
      <c r="H525" s="18"/>
      <c r="I525" s="12"/>
      <c r="J525" s="18"/>
      <c r="K525" s="13"/>
    </row>
    <row r="526">
      <c r="F526" s="18"/>
      <c r="G526" s="12"/>
      <c r="H526" s="18"/>
      <c r="I526" s="12"/>
      <c r="J526" s="18"/>
      <c r="K526" s="13"/>
    </row>
    <row r="527">
      <c r="F527" s="18"/>
      <c r="G527" s="12"/>
      <c r="H527" s="18"/>
      <c r="I527" s="12"/>
      <c r="J527" s="18"/>
      <c r="K527" s="13"/>
    </row>
    <row r="528">
      <c r="F528" s="18"/>
      <c r="G528" s="12"/>
      <c r="H528" s="18"/>
      <c r="I528" s="12"/>
      <c r="J528" s="18"/>
      <c r="K528" s="13"/>
    </row>
    <row r="529">
      <c r="F529" s="18"/>
      <c r="G529" s="12"/>
      <c r="H529" s="18"/>
      <c r="I529" s="12"/>
      <c r="J529" s="18"/>
      <c r="K529" s="13"/>
    </row>
    <row r="530">
      <c r="F530" s="18"/>
      <c r="G530" s="12"/>
      <c r="H530" s="18"/>
      <c r="I530" s="12"/>
      <c r="J530" s="18"/>
      <c r="K530" s="13"/>
    </row>
    <row r="531">
      <c r="F531" s="18"/>
      <c r="G531" s="12"/>
      <c r="H531" s="18"/>
      <c r="I531" s="12"/>
      <c r="J531" s="18"/>
      <c r="K531" s="13"/>
    </row>
    <row r="532">
      <c r="F532" s="18"/>
      <c r="G532" s="12"/>
      <c r="H532" s="18"/>
      <c r="I532" s="12"/>
      <c r="J532" s="18"/>
      <c r="K532" s="13"/>
    </row>
    <row r="533">
      <c r="F533" s="18"/>
      <c r="G533" s="12"/>
      <c r="H533" s="18"/>
      <c r="I533" s="12"/>
      <c r="J533" s="18"/>
      <c r="K533" s="13"/>
    </row>
    <row r="534">
      <c r="F534" s="18"/>
      <c r="G534" s="12"/>
      <c r="H534" s="18"/>
      <c r="I534" s="12"/>
      <c r="J534" s="18"/>
      <c r="K534" s="13"/>
    </row>
    <row r="535">
      <c r="F535" s="18"/>
      <c r="G535" s="12"/>
      <c r="H535" s="18"/>
      <c r="I535" s="12"/>
      <c r="J535" s="18"/>
      <c r="K535" s="13"/>
    </row>
    <row r="536">
      <c r="F536" s="18"/>
      <c r="G536" s="12"/>
      <c r="H536" s="18"/>
      <c r="I536" s="12"/>
      <c r="J536" s="18"/>
      <c r="K536" s="13"/>
    </row>
    <row r="537">
      <c r="F537" s="18"/>
      <c r="G537" s="12"/>
      <c r="H537" s="18"/>
      <c r="I537" s="12"/>
      <c r="J537" s="18"/>
      <c r="K537" s="13"/>
    </row>
    <row r="538">
      <c r="F538" s="18"/>
      <c r="G538" s="12"/>
      <c r="H538" s="18"/>
      <c r="I538" s="12"/>
      <c r="J538" s="18"/>
      <c r="K538" s="13"/>
    </row>
    <row r="539">
      <c r="F539" s="18"/>
      <c r="G539" s="12"/>
      <c r="H539" s="18"/>
      <c r="I539" s="12"/>
      <c r="J539" s="18"/>
      <c r="K539" s="13"/>
    </row>
    <row r="540">
      <c r="F540" s="18"/>
      <c r="G540" s="12"/>
      <c r="H540" s="18"/>
      <c r="I540" s="12"/>
      <c r="J540" s="18"/>
      <c r="K540" s="13"/>
    </row>
    <row r="541">
      <c r="F541" s="18"/>
      <c r="G541" s="12"/>
      <c r="H541" s="18"/>
      <c r="I541" s="12"/>
      <c r="J541" s="18"/>
      <c r="K541" s="13"/>
    </row>
    <row r="542">
      <c r="F542" s="18"/>
      <c r="G542" s="12"/>
      <c r="H542" s="18"/>
      <c r="I542" s="12"/>
      <c r="J542" s="18"/>
      <c r="K542" s="13"/>
    </row>
    <row r="543">
      <c r="F543" s="18"/>
      <c r="G543" s="12"/>
      <c r="H543" s="18"/>
      <c r="I543" s="12"/>
      <c r="J543" s="18"/>
      <c r="K543" s="13"/>
    </row>
    <row r="544">
      <c r="F544" s="18"/>
      <c r="G544" s="12"/>
      <c r="H544" s="18"/>
      <c r="I544" s="12"/>
      <c r="J544" s="18"/>
      <c r="K544" s="13"/>
    </row>
    <row r="545">
      <c r="F545" s="18"/>
      <c r="G545" s="12"/>
      <c r="H545" s="18"/>
      <c r="I545" s="12"/>
      <c r="J545" s="18"/>
      <c r="K545" s="13"/>
    </row>
    <row r="546">
      <c r="F546" s="18"/>
      <c r="G546" s="12"/>
      <c r="H546" s="18"/>
      <c r="I546" s="12"/>
      <c r="J546" s="18"/>
      <c r="K546" s="13"/>
    </row>
    <row r="547">
      <c r="F547" s="18"/>
      <c r="G547" s="12"/>
      <c r="H547" s="18"/>
      <c r="I547" s="12"/>
      <c r="J547" s="18"/>
      <c r="K547" s="13"/>
    </row>
    <row r="548">
      <c r="F548" s="18"/>
      <c r="G548" s="12"/>
      <c r="H548" s="18"/>
      <c r="I548" s="12"/>
      <c r="J548" s="18"/>
      <c r="K548" s="13"/>
    </row>
    <row r="549">
      <c r="F549" s="18"/>
      <c r="G549" s="12"/>
      <c r="H549" s="18"/>
      <c r="I549" s="12"/>
      <c r="J549" s="18"/>
      <c r="K549" s="13"/>
    </row>
    <row r="550">
      <c r="F550" s="18"/>
      <c r="G550" s="12"/>
      <c r="H550" s="18"/>
      <c r="I550" s="12"/>
      <c r="J550" s="18"/>
      <c r="K550" s="13"/>
    </row>
    <row r="551">
      <c r="F551" s="18"/>
      <c r="G551" s="12"/>
      <c r="H551" s="18"/>
      <c r="I551" s="12"/>
      <c r="J551" s="18"/>
      <c r="K551" s="13"/>
    </row>
    <row r="552">
      <c r="F552" s="18"/>
      <c r="G552" s="12"/>
      <c r="H552" s="18"/>
      <c r="I552" s="12"/>
      <c r="J552" s="18"/>
      <c r="K552" s="13"/>
    </row>
    <row r="553">
      <c r="F553" s="18"/>
      <c r="G553" s="12"/>
      <c r="H553" s="18"/>
      <c r="I553" s="12"/>
      <c r="J553" s="18"/>
      <c r="K553" s="13"/>
    </row>
    <row r="554">
      <c r="F554" s="18"/>
      <c r="G554" s="12"/>
      <c r="H554" s="18"/>
      <c r="I554" s="12"/>
      <c r="J554" s="18"/>
      <c r="K554" s="13"/>
    </row>
    <row r="555">
      <c r="F555" s="18"/>
      <c r="G555" s="12"/>
      <c r="H555" s="18"/>
      <c r="I555" s="12"/>
      <c r="J555" s="18"/>
      <c r="K555" s="13"/>
    </row>
    <row r="556">
      <c r="F556" s="18"/>
      <c r="G556" s="12"/>
      <c r="H556" s="18"/>
      <c r="I556" s="12"/>
      <c r="J556" s="18"/>
      <c r="K556" s="13"/>
    </row>
    <row r="557">
      <c r="F557" s="18"/>
      <c r="G557" s="12"/>
      <c r="H557" s="18"/>
      <c r="I557" s="12"/>
      <c r="J557" s="18"/>
      <c r="K557" s="13"/>
    </row>
    <row r="558">
      <c r="F558" s="18"/>
      <c r="G558" s="12"/>
      <c r="H558" s="18"/>
      <c r="I558" s="12"/>
      <c r="J558" s="18"/>
      <c r="K558" s="13"/>
    </row>
    <row r="559">
      <c r="F559" s="18"/>
      <c r="G559" s="12"/>
      <c r="H559" s="18"/>
      <c r="I559" s="12"/>
      <c r="J559" s="18"/>
      <c r="K559" s="13"/>
    </row>
    <row r="560">
      <c r="F560" s="18"/>
      <c r="G560" s="12"/>
      <c r="H560" s="18"/>
      <c r="I560" s="12"/>
      <c r="J560" s="18"/>
      <c r="K560" s="13"/>
    </row>
    <row r="561">
      <c r="F561" s="18"/>
      <c r="G561" s="12"/>
      <c r="H561" s="18"/>
      <c r="I561" s="12"/>
      <c r="J561" s="18"/>
      <c r="K561" s="13"/>
    </row>
    <row r="562">
      <c r="F562" s="18"/>
      <c r="G562" s="12"/>
      <c r="H562" s="18"/>
      <c r="I562" s="12"/>
      <c r="J562" s="18"/>
      <c r="K562" s="13"/>
    </row>
    <row r="563">
      <c r="F563" s="18"/>
      <c r="G563" s="12"/>
      <c r="H563" s="18"/>
      <c r="I563" s="12"/>
      <c r="J563" s="18"/>
      <c r="K563" s="13"/>
    </row>
    <row r="564">
      <c r="F564" s="18"/>
      <c r="G564" s="12"/>
      <c r="H564" s="18"/>
      <c r="I564" s="12"/>
      <c r="J564" s="18"/>
      <c r="K564" s="13"/>
    </row>
    <row r="565">
      <c r="F565" s="18"/>
      <c r="G565" s="12"/>
      <c r="H565" s="18"/>
      <c r="I565" s="12"/>
      <c r="J565" s="18"/>
      <c r="K565" s="13"/>
    </row>
    <row r="566">
      <c r="F566" s="18"/>
      <c r="G566" s="12"/>
      <c r="H566" s="18"/>
      <c r="I566" s="12"/>
      <c r="J566" s="18"/>
      <c r="K566" s="13"/>
    </row>
    <row r="567">
      <c r="F567" s="18"/>
      <c r="G567" s="12"/>
      <c r="H567" s="18"/>
      <c r="I567" s="12"/>
      <c r="J567" s="18"/>
      <c r="K567" s="13"/>
    </row>
    <row r="568">
      <c r="F568" s="18"/>
      <c r="G568" s="12"/>
      <c r="H568" s="18"/>
      <c r="I568" s="12"/>
      <c r="J568" s="18"/>
      <c r="K568" s="13"/>
    </row>
    <row r="569">
      <c r="F569" s="18"/>
      <c r="G569" s="12"/>
      <c r="H569" s="18"/>
      <c r="I569" s="12"/>
      <c r="J569" s="18"/>
      <c r="K569" s="13"/>
    </row>
    <row r="570">
      <c r="F570" s="18"/>
      <c r="G570" s="12"/>
      <c r="H570" s="18"/>
      <c r="I570" s="12"/>
      <c r="J570" s="18"/>
      <c r="K570" s="13"/>
    </row>
    <row r="571">
      <c r="F571" s="18"/>
      <c r="G571" s="12"/>
      <c r="H571" s="18"/>
      <c r="I571" s="12"/>
      <c r="J571" s="18"/>
      <c r="K571" s="13"/>
    </row>
    <row r="572">
      <c r="F572" s="18"/>
      <c r="G572" s="12"/>
      <c r="H572" s="18"/>
      <c r="I572" s="12"/>
      <c r="J572" s="18"/>
      <c r="K572" s="13"/>
    </row>
    <row r="573">
      <c r="F573" s="18"/>
      <c r="G573" s="12"/>
      <c r="H573" s="18"/>
      <c r="I573" s="12"/>
      <c r="J573" s="18"/>
      <c r="K573" s="13"/>
    </row>
    <row r="574">
      <c r="F574" s="18"/>
      <c r="G574" s="12"/>
      <c r="H574" s="18"/>
      <c r="I574" s="12"/>
      <c r="J574" s="18"/>
      <c r="K574" s="13"/>
    </row>
    <row r="575">
      <c r="F575" s="18"/>
      <c r="G575" s="12"/>
      <c r="H575" s="18"/>
      <c r="I575" s="12"/>
      <c r="J575" s="18"/>
      <c r="K575" s="13"/>
    </row>
    <row r="576">
      <c r="F576" s="18"/>
      <c r="G576" s="12"/>
      <c r="H576" s="18"/>
      <c r="I576" s="12"/>
      <c r="J576" s="18"/>
      <c r="K576" s="13"/>
    </row>
    <row r="577">
      <c r="F577" s="18"/>
      <c r="G577" s="12"/>
      <c r="H577" s="18"/>
      <c r="I577" s="12"/>
      <c r="J577" s="18"/>
      <c r="K577" s="13"/>
    </row>
    <row r="578">
      <c r="F578" s="18"/>
      <c r="G578" s="12"/>
      <c r="H578" s="18"/>
      <c r="I578" s="12"/>
      <c r="J578" s="18"/>
      <c r="K578" s="13"/>
    </row>
    <row r="579">
      <c r="F579" s="18"/>
      <c r="G579" s="12"/>
      <c r="H579" s="18"/>
      <c r="I579" s="12"/>
      <c r="J579" s="18"/>
      <c r="K579" s="13"/>
    </row>
    <row r="580">
      <c r="F580" s="18"/>
      <c r="G580" s="12"/>
      <c r="H580" s="18"/>
      <c r="I580" s="12"/>
      <c r="J580" s="18"/>
      <c r="K580" s="13"/>
    </row>
    <row r="581">
      <c r="F581" s="18"/>
      <c r="G581" s="12"/>
      <c r="H581" s="18"/>
      <c r="I581" s="12"/>
      <c r="J581" s="18"/>
      <c r="K581" s="13"/>
    </row>
    <row r="582">
      <c r="F582" s="18"/>
      <c r="G582" s="12"/>
      <c r="H582" s="18"/>
      <c r="I582" s="12"/>
      <c r="J582" s="18"/>
      <c r="K582" s="13"/>
    </row>
    <row r="583">
      <c r="F583" s="18"/>
      <c r="G583" s="12"/>
      <c r="H583" s="18"/>
      <c r="I583" s="12"/>
      <c r="J583" s="18"/>
      <c r="K583" s="13"/>
    </row>
    <row r="584">
      <c r="F584" s="18"/>
      <c r="G584" s="12"/>
      <c r="H584" s="18"/>
      <c r="I584" s="12"/>
      <c r="J584" s="18"/>
      <c r="K584" s="13"/>
    </row>
    <row r="585">
      <c r="F585" s="18"/>
      <c r="G585" s="12"/>
      <c r="H585" s="18"/>
      <c r="I585" s="12"/>
      <c r="J585" s="18"/>
      <c r="K585" s="13"/>
    </row>
    <row r="586">
      <c r="F586" s="18"/>
      <c r="G586" s="12"/>
      <c r="H586" s="18"/>
      <c r="I586" s="12"/>
      <c r="J586" s="18"/>
      <c r="K586" s="13"/>
    </row>
    <row r="587">
      <c r="F587" s="18"/>
      <c r="G587" s="12"/>
      <c r="H587" s="18"/>
      <c r="I587" s="12"/>
      <c r="J587" s="18"/>
      <c r="K587" s="13"/>
    </row>
    <row r="588">
      <c r="F588" s="18"/>
      <c r="G588" s="12"/>
      <c r="H588" s="18"/>
      <c r="I588" s="12"/>
      <c r="J588" s="18"/>
      <c r="K588" s="13"/>
    </row>
    <row r="589">
      <c r="F589" s="18"/>
      <c r="G589" s="12"/>
      <c r="H589" s="18"/>
      <c r="I589" s="12"/>
      <c r="J589" s="18"/>
      <c r="K589" s="13"/>
    </row>
    <row r="590">
      <c r="F590" s="18"/>
      <c r="G590" s="12"/>
      <c r="H590" s="18"/>
      <c r="I590" s="12"/>
      <c r="J590" s="18"/>
      <c r="K590" s="13"/>
    </row>
    <row r="591">
      <c r="F591" s="18"/>
      <c r="G591" s="12"/>
      <c r="H591" s="18"/>
      <c r="I591" s="12"/>
      <c r="J591" s="18"/>
      <c r="K591" s="13"/>
    </row>
    <row r="592">
      <c r="F592" s="18"/>
      <c r="G592" s="12"/>
      <c r="H592" s="18"/>
      <c r="I592" s="12"/>
      <c r="J592" s="18"/>
      <c r="K592" s="13"/>
    </row>
    <row r="593">
      <c r="F593" s="18"/>
      <c r="G593" s="12"/>
      <c r="H593" s="18"/>
      <c r="I593" s="12"/>
      <c r="J593" s="18"/>
      <c r="K593" s="13"/>
    </row>
    <row r="594">
      <c r="F594" s="18"/>
      <c r="G594" s="12"/>
      <c r="H594" s="18"/>
      <c r="I594" s="12"/>
      <c r="J594" s="18"/>
      <c r="K594" s="13"/>
    </row>
    <row r="595">
      <c r="F595" s="18"/>
      <c r="G595" s="12"/>
      <c r="H595" s="18"/>
      <c r="I595" s="12"/>
      <c r="J595" s="18"/>
      <c r="K595" s="13"/>
    </row>
    <row r="596">
      <c r="F596" s="18"/>
      <c r="G596" s="12"/>
      <c r="H596" s="18"/>
      <c r="I596" s="12"/>
      <c r="J596" s="18"/>
      <c r="K596" s="13"/>
    </row>
    <row r="597">
      <c r="F597" s="18"/>
      <c r="G597" s="12"/>
      <c r="H597" s="18"/>
      <c r="I597" s="12"/>
      <c r="J597" s="18"/>
      <c r="K597" s="13"/>
    </row>
    <row r="598">
      <c r="F598" s="18"/>
      <c r="G598" s="12"/>
      <c r="H598" s="18"/>
      <c r="I598" s="12"/>
      <c r="J598" s="18"/>
      <c r="K598" s="13"/>
    </row>
    <row r="599">
      <c r="F599" s="18"/>
      <c r="G599" s="12"/>
      <c r="H599" s="18"/>
      <c r="I599" s="12"/>
      <c r="J599" s="18"/>
      <c r="K599" s="13"/>
    </row>
    <row r="600">
      <c r="F600" s="18"/>
      <c r="G600" s="12"/>
      <c r="H600" s="18"/>
      <c r="I600" s="12"/>
      <c r="J600" s="18"/>
      <c r="K600" s="13"/>
    </row>
    <row r="601">
      <c r="F601" s="18"/>
      <c r="G601" s="12"/>
      <c r="H601" s="18"/>
      <c r="I601" s="12"/>
      <c r="J601" s="18"/>
      <c r="K601" s="13"/>
    </row>
    <row r="602">
      <c r="F602" s="18"/>
      <c r="G602" s="12"/>
      <c r="H602" s="18"/>
      <c r="I602" s="12"/>
      <c r="J602" s="18"/>
      <c r="K602" s="13"/>
    </row>
    <row r="603">
      <c r="F603" s="18"/>
      <c r="G603" s="12"/>
      <c r="H603" s="18"/>
      <c r="I603" s="12"/>
      <c r="J603" s="18"/>
      <c r="K603" s="13"/>
    </row>
    <row r="604">
      <c r="F604" s="18"/>
      <c r="G604" s="12"/>
      <c r="H604" s="18"/>
      <c r="I604" s="12"/>
      <c r="J604" s="18"/>
      <c r="K604" s="13"/>
    </row>
    <row r="605">
      <c r="F605" s="18"/>
      <c r="G605" s="12"/>
      <c r="H605" s="18"/>
      <c r="I605" s="12"/>
      <c r="J605" s="18"/>
      <c r="K605" s="13"/>
    </row>
    <row r="606">
      <c r="F606" s="18"/>
      <c r="G606" s="12"/>
      <c r="H606" s="18"/>
      <c r="I606" s="12"/>
      <c r="J606" s="18"/>
      <c r="K606" s="13"/>
    </row>
    <row r="607">
      <c r="F607" s="18"/>
      <c r="G607" s="12"/>
      <c r="H607" s="18"/>
      <c r="I607" s="12"/>
      <c r="J607" s="18"/>
      <c r="K607" s="13"/>
    </row>
    <row r="608">
      <c r="F608" s="18"/>
      <c r="G608" s="12"/>
      <c r="H608" s="18"/>
      <c r="I608" s="12"/>
      <c r="J608" s="18"/>
      <c r="K608" s="13"/>
    </row>
    <row r="609">
      <c r="F609" s="18"/>
      <c r="G609" s="12"/>
      <c r="H609" s="18"/>
      <c r="I609" s="12"/>
      <c r="J609" s="18"/>
      <c r="K609" s="13"/>
    </row>
    <row r="610">
      <c r="F610" s="18"/>
      <c r="G610" s="12"/>
      <c r="H610" s="18"/>
      <c r="I610" s="12"/>
      <c r="J610" s="18"/>
      <c r="K610" s="13"/>
    </row>
    <row r="611">
      <c r="F611" s="18"/>
      <c r="G611" s="12"/>
      <c r="H611" s="18"/>
      <c r="I611" s="12"/>
      <c r="J611" s="18"/>
      <c r="K611" s="13"/>
    </row>
    <row r="612">
      <c r="F612" s="18"/>
      <c r="G612" s="12"/>
      <c r="H612" s="18"/>
      <c r="I612" s="12"/>
      <c r="J612" s="18"/>
      <c r="K612" s="13"/>
    </row>
    <row r="613">
      <c r="F613" s="18"/>
      <c r="G613" s="12"/>
      <c r="H613" s="18"/>
      <c r="I613" s="12"/>
      <c r="J613" s="18"/>
      <c r="K613" s="13"/>
    </row>
    <row r="614">
      <c r="F614" s="18"/>
      <c r="G614" s="12"/>
      <c r="H614" s="18"/>
      <c r="I614" s="12"/>
      <c r="J614" s="18"/>
      <c r="K614" s="13"/>
    </row>
    <row r="615">
      <c r="F615" s="18"/>
      <c r="G615" s="12"/>
      <c r="H615" s="18"/>
      <c r="I615" s="12"/>
      <c r="J615" s="18"/>
      <c r="K615" s="13"/>
    </row>
    <row r="616">
      <c r="F616" s="18"/>
      <c r="G616" s="12"/>
      <c r="H616" s="18"/>
      <c r="I616" s="12"/>
      <c r="J616" s="18"/>
      <c r="K616" s="13"/>
    </row>
    <row r="617">
      <c r="F617" s="18"/>
      <c r="G617" s="12"/>
      <c r="H617" s="18"/>
      <c r="I617" s="12"/>
      <c r="J617" s="18"/>
      <c r="K617" s="13"/>
    </row>
    <row r="618">
      <c r="F618" s="18"/>
      <c r="G618" s="12"/>
      <c r="H618" s="18"/>
      <c r="I618" s="12"/>
      <c r="J618" s="18"/>
      <c r="K618" s="13"/>
    </row>
    <row r="619">
      <c r="F619" s="18"/>
      <c r="G619" s="12"/>
      <c r="H619" s="18"/>
      <c r="I619" s="12"/>
      <c r="J619" s="18"/>
      <c r="K619" s="13"/>
    </row>
    <row r="620">
      <c r="F620" s="18"/>
      <c r="G620" s="12"/>
      <c r="H620" s="18"/>
      <c r="I620" s="12"/>
      <c r="J620" s="18"/>
      <c r="K620" s="13"/>
    </row>
    <row r="621">
      <c r="F621" s="18"/>
      <c r="G621" s="12"/>
      <c r="H621" s="18"/>
      <c r="I621" s="12"/>
      <c r="J621" s="18"/>
      <c r="K621" s="13"/>
    </row>
    <row r="622">
      <c r="F622" s="18"/>
      <c r="G622" s="12"/>
      <c r="H622" s="18"/>
      <c r="I622" s="12"/>
      <c r="J622" s="18"/>
      <c r="K622" s="13"/>
    </row>
    <row r="623">
      <c r="F623" s="18"/>
      <c r="G623" s="12"/>
      <c r="H623" s="18"/>
      <c r="I623" s="12"/>
      <c r="J623" s="18"/>
      <c r="K623" s="13"/>
    </row>
    <row r="624">
      <c r="F624" s="18"/>
      <c r="G624" s="12"/>
      <c r="H624" s="18"/>
      <c r="I624" s="12"/>
      <c r="J624" s="18"/>
      <c r="K624" s="13"/>
    </row>
    <row r="625">
      <c r="F625" s="18"/>
      <c r="G625" s="12"/>
      <c r="H625" s="18"/>
      <c r="I625" s="12"/>
      <c r="J625" s="18"/>
      <c r="K625" s="13"/>
    </row>
    <row r="626">
      <c r="F626" s="18"/>
      <c r="G626" s="12"/>
      <c r="H626" s="18"/>
      <c r="I626" s="12"/>
      <c r="J626" s="18"/>
      <c r="K626" s="13"/>
    </row>
    <row r="627">
      <c r="F627" s="18"/>
      <c r="G627" s="12"/>
      <c r="H627" s="18"/>
      <c r="I627" s="12"/>
      <c r="J627" s="18"/>
      <c r="K627" s="13"/>
    </row>
    <row r="628">
      <c r="F628" s="18"/>
      <c r="G628" s="12"/>
      <c r="H628" s="18"/>
      <c r="I628" s="12"/>
      <c r="J628" s="18"/>
      <c r="K628" s="13"/>
    </row>
    <row r="629">
      <c r="F629" s="18"/>
      <c r="G629" s="12"/>
      <c r="H629" s="18"/>
      <c r="I629" s="12"/>
      <c r="J629" s="18"/>
      <c r="K629" s="13"/>
    </row>
    <row r="630">
      <c r="F630" s="18"/>
      <c r="G630" s="12"/>
      <c r="H630" s="18"/>
      <c r="I630" s="12"/>
      <c r="J630" s="18"/>
      <c r="K630" s="13"/>
    </row>
    <row r="631">
      <c r="F631" s="18"/>
      <c r="G631" s="12"/>
      <c r="H631" s="18"/>
      <c r="I631" s="12"/>
      <c r="J631" s="18"/>
      <c r="K631" s="13"/>
    </row>
    <row r="632">
      <c r="F632" s="18"/>
      <c r="G632" s="12"/>
      <c r="H632" s="18"/>
      <c r="I632" s="12"/>
      <c r="J632" s="18"/>
      <c r="K632" s="13"/>
    </row>
    <row r="633">
      <c r="F633" s="18"/>
      <c r="G633" s="12"/>
      <c r="H633" s="18"/>
      <c r="I633" s="12"/>
      <c r="J633" s="18"/>
      <c r="K633" s="13"/>
    </row>
    <row r="634">
      <c r="F634" s="18"/>
      <c r="G634" s="12"/>
      <c r="H634" s="18"/>
      <c r="I634" s="12"/>
      <c r="J634" s="18"/>
      <c r="K634" s="13"/>
    </row>
    <row r="635">
      <c r="F635" s="18"/>
      <c r="G635" s="12"/>
      <c r="H635" s="18"/>
      <c r="I635" s="12"/>
      <c r="J635" s="18"/>
      <c r="K635" s="13"/>
    </row>
    <row r="636">
      <c r="F636" s="18"/>
      <c r="G636" s="12"/>
      <c r="H636" s="18"/>
      <c r="I636" s="12"/>
      <c r="J636" s="18"/>
      <c r="K636" s="13"/>
    </row>
    <row r="637">
      <c r="F637" s="18"/>
      <c r="G637" s="12"/>
      <c r="H637" s="18"/>
      <c r="I637" s="12"/>
      <c r="J637" s="18"/>
      <c r="K637" s="13"/>
    </row>
    <row r="638">
      <c r="F638" s="18"/>
      <c r="G638" s="12"/>
      <c r="H638" s="18"/>
      <c r="I638" s="12"/>
      <c r="J638" s="18"/>
      <c r="K638" s="13"/>
    </row>
    <row r="639">
      <c r="F639" s="18"/>
      <c r="G639" s="12"/>
      <c r="H639" s="18"/>
      <c r="I639" s="12"/>
      <c r="J639" s="18"/>
      <c r="K639" s="13"/>
    </row>
    <row r="640">
      <c r="F640" s="18"/>
      <c r="G640" s="12"/>
      <c r="H640" s="18"/>
      <c r="I640" s="12"/>
      <c r="J640" s="18"/>
      <c r="K640" s="13"/>
    </row>
    <row r="641">
      <c r="F641" s="18"/>
      <c r="G641" s="12"/>
      <c r="H641" s="18"/>
      <c r="I641" s="12"/>
      <c r="J641" s="18"/>
      <c r="K641" s="13"/>
    </row>
    <row r="642">
      <c r="F642" s="18"/>
      <c r="G642" s="12"/>
      <c r="H642" s="18"/>
      <c r="I642" s="12"/>
      <c r="J642" s="18"/>
      <c r="K642" s="13"/>
    </row>
    <row r="643">
      <c r="F643" s="18"/>
      <c r="G643" s="12"/>
      <c r="H643" s="18"/>
      <c r="I643" s="12"/>
      <c r="J643" s="18"/>
      <c r="K643" s="13"/>
    </row>
    <row r="644">
      <c r="F644" s="18"/>
      <c r="G644" s="12"/>
      <c r="H644" s="18"/>
      <c r="I644" s="12"/>
      <c r="J644" s="18"/>
      <c r="K644" s="13"/>
    </row>
    <row r="645">
      <c r="F645" s="18"/>
      <c r="G645" s="12"/>
      <c r="H645" s="18"/>
      <c r="I645" s="12"/>
      <c r="J645" s="18"/>
      <c r="K645" s="13"/>
    </row>
    <row r="646">
      <c r="F646" s="18"/>
      <c r="G646" s="12"/>
      <c r="H646" s="18"/>
      <c r="I646" s="12"/>
      <c r="J646" s="18"/>
      <c r="K646" s="13"/>
    </row>
    <row r="647">
      <c r="F647" s="18"/>
      <c r="G647" s="12"/>
      <c r="H647" s="18"/>
      <c r="I647" s="12"/>
      <c r="J647" s="18"/>
      <c r="K647" s="13"/>
    </row>
    <row r="648">
      <c r="F648" s="18"/>
      <c r="G648" s="12"/>
      <c r="H648" s="18"/>
      <c r="I648" s="12"/>
      <c r="J648" s="18"/>
      <c r="K648" s="13"/>
    </row>
    <row r="649">
      <c r="F649" s="18"/>
      <c r="G649" s="12"/>
      <c r="H649" s="18"/>
      <c r="I649" s="12"/>
      <c r="J649" s="18"/>
      <c r="K649" s="13"/>
    </row>
    <row r="650">
      <c r="F650" s="18"/>
      <c r="G650" s="12"/>
      <c r="H650" s="18"/>
      <c r="I650" s="12"/>
      <c r="J650" s="18"/>
      <c r="K650" s="13"/>
    </row>
    <row r="651">
      <c r="F651" s="18"/>
      <c r="G651" s="12"/>
      <c r="H651" s="18"/>
      <c r="I651" s="12"/>
      <c r="J651" s="18"/>
      <c r="K651" s="13"/>
    </row>
    <row r="652">
      <c r="F652" s="18"/>
      <c r="G652" s="12"/>
      <c r="H652" s="18"/>
      <c r="I652" s="12"/>
      <c r="J652" s="18"/>
      <c r="K652" s="13"/>
    </row>
    <row r="653">
      <c r="F653" s="18"/>
      <c r="G653" s="12"/>
      <c r="H653" s="18"/>
      <c r="I653" s="12"/>
      <c r="J653" s="18"/>
      <c r="K653" s="13"/>
    </row>
    <row r="654">
      <c r="F654" s="18"/>
      <c r="G654" s="12"/>
      <c r="H654" s="18"/>
      <c r="I654" s="12"/>
      <c r="J654" s="18"/>
      <c r="K654" s="13"/>
    </row>
    <row r="655">
      <c r="F655" s="18"/>
      <c r="G655" s="12"/>
      <c r="H655" s="18"/>
      <c r="I655" s="12"/>
      <c r="J655" s="18"/>
      <c r="K655" s="13"/>
    </row>
    <row r="656">
      <c r="F656" s="18"/>
      <c r="G656" s="12"/>
      <c r="H656" s="18"/>
      <c r="I656" s="12"/>
      <c r="J656" s="18"/>
      <c r="K656" s="13"/>
    </row>
    <row r="657">
      <c r="F657" s="18"/>
      <c r="G657" s="12"/>
      <c r="H657" s="18"/>
      <c r="I657" s="12"/>
      <c r="J657" s="18"/>
      <c r="K657" s="13"/>
    </row>
    <row r="658">
      <c r="F658" s="18"/>
      <c r="G658" s="12"/>
      <c r="H658" s="18"/>
      <c r="I658" s="12"/>
      <c r="J658" s="18"/>
      <c r="K658" s="13"/>
    </row>
    <row r="659">
      <c r="F659" s="18"/>
      <c r="G659" s="12"/>
      <c r="H659" s="18"/>
      <c r="I659" s="12"/>
      <c r="J659" s="18"/>
      <c r="K659" s="13"/>
    </row>
    <row r="660">
      <c r="F660" s="18"/>
      <c r="G660" s="12"/>
      <c r="H660" s="18"/>
      <c r="I660" s="12"/>
      <c r="J660" s="18"/>
      <c r="K660" s="13"/>
    </row>
    <row r="661">
      <c r="F661" s="18"/>
      <c r="G661" s="12"/>
      <c r="H661" s="18"/>
      <c r="I661" s="12"/>
      <c r="J661" s="18"/>
      <c r="K661" s="13"/>
    </row>
    <row r="662">
      <c r="F662" s="18"/>
      <c r="G662" s="12"/>
      <c r="H662" s="18"/>
      <c r="I662" s="12"/>
      <c r="J662" s="18"/>
      <c r="K662" s="13"/>
    </row>
    <row r="663">
      <c r="F663" s="18"/>
      <c r="G663" s="12"/>
      <c r="H663" s="18"/>
      <c r="I663" s="12"/>
      <c r="J663" s="18"/>
      <c r="K663" s="13"/>
    </row>
    <row r="664">
      <c r="F664" s="18"/>
      <c r="G664" s="12"/>
      <c r="H664" s="18"/>
      <c r="I664" s="12"/>
      <c r="J664" s="18"/>
      <c r="K664" s="13"/>
    </row>
    <row r="665">
      <c r="F665" s="18"/>
      <c r="G665" s="12"/>
      <c r="H665" s="18"/>
      <c r="I665" s="12"/>
      <c r="J665" s="18"/>
      <c r="K665" s="13"/>
    </row>
    <row r="666">
      <c r="F666" s="18"/>
      <c r="G666" s="12"/>
      <c r="H666" s="18"/>
      <c r="I666" s="12"/>
      <c r="J666" s="18"/>
      <c r="K666" s="13"/>
    </row>
    <row r="667">
      <c r="F667" s="18"/>
      <c r="G667" s="12"/>
      <c r="H667" s="18"/>
      <c r="I667" s="12"/>
      <c r="J667" s="18"/>
      <c r="K667" s="13"/>
    </row>
    <row r="668">
      <c r="F668" s="18"/>
      <c r="G668" s="12"/>
      <c r="H668" s="18"/>
      <c r="I668" s="12"/>
      <c r="J668" s="18"/>
      <c r="K668" s="13"/>
    </row>
    <row r="669">
      <c r="F669" s="18"/>
      <c r="G669" s="12"/>
      <c r="H669" s="18"/>
      <c r="I669" s="12"/>
      <c r="J669" s="18"/>
      <c r="K669" s="13"/>
    </row>
    <row r="670">
      <c r="F670" s="18"/>
      <c r="G670" s="12"/>
      <c r="H670" s="18"/>
      <c r="I670" s="12"/>
      <c r="J670" s="18"/>
      <c r="K670" s="13"/>
    </row>
    <row r="671">
      <c r="F671" s="18"/>
      <c r="G671" s="12"/>
      <c r="H671" s="18"/>
      <c r="I671" s="12"/>
      <c r="J671" s="18"/>
      <c r="K671" s="13"/>
    </row>
    <row r="672">
      <c r="F672" s="18"/>
      <c r="G672" s="12"/>
      <c r="H672" s="18"/>
      <c r="I672" s="12"/>
      <c r="J672" s="18"/>
      <c r="K672" s="13"/>
    </row>
    <row r="673">
      <c r="F673" s="18"/>
      <c r="G673" s="12"/>
      <c r="H673" s="18"/>
      <c r="I673" s="12"/>
      <c r="J673" s="18"/>
      <c r="K673" s="13"/>
    </row>
    <row r="674">
      <c r="F674" s="18"/>
      <c r="G674" s="12"/>
      <c r="H674" s="18"/>
      <c r="I674" s="12"/>
      <c r="J674" s="18"/>
      <c r="K674" s="13"/>
    </row>
    <row r="675">
      <c r="F675" s="18"/>
      <c r="G675" s="12"/>
      <c r="H675" s="18"/>
      <c r="I675" s="12"/>
      <c r="J675" s="18"/>
      <c r="K675" s="13"/>
    </row>
    <row r="676">
      <c r="F676" s="18"/>
      <c r="G676" s="12"/>
      <c r="H676" s="18"/>
      <c r="I676" s="12"/>
      <c r="J676" s="18"/>
      <c r="K676" s="13"/>
    </row>
    <row r="677">
      <c r="F677" s="18"/>
      <c r="G677" s="12"/>
      <c r="H677" s="18"/>
      <c r="I677" s="12"/>
      <c r="J677" s="18"/>
      <c r="K677" s="13"/>
    </row>
    <row r="678">
      <c r="F678" s="18"/>
      <c r="G678" s="12"/>
      <c r="H678" s="18"/>
      <c r="I678" s="12"/>
      <c r="J678" s="18"/>
      <c r="K678" s="13"/>
    </row>
    <row r="679">
      <c r="F679" s="18"/>
      <c r="G679" s="12"/>
      <c r="H679" s="18"/>
      <c r="I679" s="12"/>
      <c r="J679" s="18"/>
      <c r="K679" s="13"/>
    </row>
    <row r="680">
      <c r="F680" s="18"/>
      <c r="G680" s="12"/>
      <c r="H680" s="18"/>
      <c r="I680" s="12"/>
      <c r="J680" s="18"/>
      <c r="K680" s="13"/>
    </row>
    <row r="681">
      <c r="F681" s="18"/>
      <c r="G681" s="12"/>
      <c r="H681" s="18"/>
      <c r="I681" s="12"/>
      <c r="J681" s="18"/>
      <c r="K681" s="13"/>
    </row>
    <row r="682">
      <c r="F682" s="18"/>
      <c r="G682" s="12"/>
      <c r="H682" s="18"/>
      <c r="I682" s="12"/>
      <c r="J682" s="18"/>
      <c r="K682" s="13"/>
    </row>
    <row r="683">
      <c r="F683" s="18"/>
      <c r="G683" s="12"/>
      <c r="H683" s="18"/>
      <c r="I683" s="12"/>
      <c r="J683" s="18"/>
      <c r="K683" s="13"/>
    </row>
    <row r="684">
      <c r="F684" s="18"/>
      <c r="G684" s="12"/>
      <c r="H684" s="18"/>
      <c r="I684" s="12"/>
      <c r="J684" s="18"/>
      <c r="K684" s="13"/>
    </row>
    <row r="685">
      <c r="F685" s="18"/>
      <c r="G685" s="12"/>
      <c r="H685" s="18"/>
      <c r="I685" s="12"/>
      <c r="J685" s="18"/>
      <c r="K685" s="13"/>
    </row>
    <row r="686">
      <c r="F686" s="18"/>
      <c r="G686" s="12"/>
      <c r="H686" s="18"/>
      <c r="I686" s="12"/>
      <c r="J686" s="18"/>
      <c r="K686" s="13"/>
    </row>
    <row r="687">
      <c r="F687" s="18"/>
      <c r="G687" s="12"/>
      <c r="H687" s="18"/>
      <c r="I687" s="12"/>
      <c r="J687" s="18"/>
      <c r="K687" s="13"/>
    </row>
    <row r="688">
      <c r="F688" s="18"/>
      <c r="G688" s="12"/>
      <c r="H688" s="18"/>
      <c r="I688" s="12"/>
      <c r="J688" s="18"/>
      <c r="K688" s="13"/>
    </row>
    <row r="689">
      <c r="F689" s="18"/>
      <c r="G689" s="12"/>
      <c r="H689" s="18"/>
      <c r="I689" s="12"/>
      <c r="J689" s="18"/>
      <c r="K689" s="13"/>
    </row>
    <row r="690">
      <c r="F690" s="18"/>
      <c r="G690" s="12"/>
      <c r="H690" s="18"/>
      <c r="I690" s="12"/>
      <c r="J690" s="18"/>
      <c r="K690" s="13"/>
    </row>
    <row r="691">
      <c r="F691" s="18"/>
      <c r="G691" s="12"/>
      <c r="H691" s="18"/>
      <c r="I691" s="12"/>
      <c r="J691" s="18"/>
      <c r="K691" s="13"/>
    </row>
    <row r="692">
      <c r="F692" s="18"/>
      <c r="G692" s="12"/>
      <c r="H692" s="18"/>
      <c r="I692" s="12"/>
      <c r="J692" s="18"/>
      <c r="K692" s="13"/>
    </row>
    <row r="693">
      <c r="F693" s="18"/>
      <c r="G693" s="12"/>
      <c r="H693" s="18"/>
      <c r="I693" s="12"/>
      <c r="J693" s="18"/>
      <c r="K693" s="13"/>
    </row>
    <row r="694">
      <c r="F694" s="18"/>
      <c r="G694" s="12"/>
      <c r="H694" s="18"/>
      <c r="I694" s="12"/>
      <c r="J694" s="18"/>
      <c r="K694" s="13"/>
    </row>
    <row r="695">
      <c r="F695" s="18"/>
      <c r="G695" s="12"/>
      <c r="H695" s="18"/>
      <c r="I695" s="12"/>
      <c r="J695" s="18"/>
      <c r="K695" s="13"/>
    </row>
    <row r="696">
      <c r="F696" s="18"/>
      <c r="G696" s="12"/>
      <c r="H696" s="18"/>
      <c r="I696" s="12"/>
      <c r="J696" s="18"/>
      <c r="K696" s="13"/>
    </row>
    <row r="697">
      <c r="F697" s="18"/>
      <c r="G697" s="12"/>
      <c r="H697" s="18"/>
      <c r="I697" s="12"/>
      <c r="J697" s="18"/>
      <c r="K697" s="13"/>
    </row>
    <row r="698">
      <c r="F698" s="18"/>
      <c r="G698" s="12"/>
      <c r="H698" s="18"/>
      <c r="I698" s="12"/>
      <c r="J698" s="18"/>
      <c r="K698" s="13"/>
    </row>
    <row r="699">
      <c r="F699" s="18"/>
      <c r="G699" s="12"/>
      <c r="H699" s="18"/>
      <c r="I699" s="12"/>
      <c r="J699" s="18"/>
      <c r="K699" s="13"/>
    </row>
    <row r="700">
      <c r="F700" s="18"/>
      <c r="G700" s="12"/>
      <c r="H700" s="18"/>
      <c r="I700" s="12"/>
      <c r="J700" s="18"/>
      <c r="K700" s="13"/>
    </row>
    <row r="701">
      <c r="F701" s="18"/>
      <c r="G701" s="12"/>
      <c r="H701" s="18"/>
      <c r="I701" s="12"/>
      <c r="J701" s="18"/>
      <c r="K701" s="13"/>
    </row>
    <row r="702">
      <c r="F702" s="18"/>
      <c r="G702" s="12"/>
      <c r="H702" s="18"/>
      <c r="I702" s="12"/>
      <c r="J702" s="18"/>
      <c r="K702" s="13"/>
    </row>
    <row r="703">
      <c r="F703" s="18"/>
      <c r="G703" s="12"/>
      <c r="H703" s="18"/>
      <c r="I703" s="12"/>
      <c r="J703" s="18"/>
      <c r="K703" s="13"/>
    </row>
    <row r="704">
      <c r="F704" s="18"/>
      <c r="G704" s="12"/>
      <c r="H704" s="18"/>
      <c r="I704" s="12"/>
      <c r="J704" s="18"/>
      <c r="K704" s="13"/>
    </row>
    <row r="705">
      <c r="F705" s="18"/>
      <c r="G705" s="12"/>
      <c r="H705" s="18"/>
      <c r="I705" s="12"/>
      <c r="J705" s="18"/>
      <c r="K705" s="13"/>
    </row>
    <row r="706">
      <c r="F706" s="18"/>
      <c r="G706" s="12"/>
      <c r="H706" s="18"/>
      <c r="I706" s="12"/>
      <c r="J706" s="18"/>
      <c r="K706" s="13"/>
    </row>
    <row r="707">
      <c r="F707" s="18"/>
      <c r="G707" s="12"/>
      <c r="H707" s="18"/>
      <c r="I707" s="12"/>
      <c r="J707" s="18"/>
      <c r="K707" s="13"/>
    </row>
    <row r="708">
      <c r="F708" s="18"/>
      <c r="G708" s="12"/>
      <c r="H708" s="18"/>
      <c r="I708" s="12"/>
      <c r="J708" s="18"/>
      <c r="K708" s="13"/>
    </row>
    <row r="709">
      <c r="F709" s="18"/>
      <c r="G709" s="12"/>
      <c r="H709" s="18"/>
      <c r="I709" s="12"/>
      <c r="J709" s="18"/>
      <c r="K709" s="13"/>
    </row>
    <row r="710">
      <c r="F710" s="18"/>
      <c r="G710" s="12"/>
      <c r="H710" s="18"/>
      <c r="I710" s="12"/>
      <c r="J710" s="18"/>
      <c r="K710" s="13"/>
    </row>
    <row r="711">
      <c r="F711" s="18"/>
      <c r="G711" s="12"/>
      <c r="H711" s="18"/>
      <c r="I711" s="12"/>
      <c r="J711" s="18"/>
      <c r="K711" s="13"/>
    </row>
    <row r="712">
      <c r="F712" s="18"/>
      <c r="G712" s="12"/>
      <c r="H712" s="18"/>
      <c r="I712" s="12"/>
      <c r="J712" s="18"/>
      <c r="K712" s="13"/>
    </row>
    <row r="713">
      <c r="F713" s="18"/>
      <c r="G713" s="12"/>
      <c r="H713" s="18"/>
      <c r="I713" s="12"/>
      <c r="J713" s="18"/>
      <c r="K713" s="13"/>
    </row>
    <row r="714">
      <c r="F714" s="18"/>
      <c r="G714" s="12"/>
      <c r="H714" s="18"/>
      <c r="I714" s="12"/>
      <c r="J714" s="18"/>
      <c r="K714" s="13"/>
    </row>
    <row r="715">
      <c r="F715" s="18"/>
      <c r="G715" s="12"/>
      <c r="H715" s="18"/>
      <c r="I715" s="12"/>
      <c r="J715" s="18"/>
      <c r="K715" s="13"/>
    </row>
    <row r="716">
      <c r="F716" s="18"/>
      <c r="G716" s="12"/>
      <c r="H716" s="18"/>
      <c r="I716" s="12"/>
      <c r="J716" s="18"/>
      <c r="K716" s="13"/>
    </row>
    <row r="717">
      <c r="F717" s="18"/>
      <c r="G717" s="12"/>
      <c r="H717" s="18"/>
      <c r="I717" s="12"/>
      <c r="J717" s="18"/>
      <c r="K717" s="13"/>
    </row>
    <row r="718">
      <c r="F718" s="18"/>
      <c r="G718" s="12"/>
      <c r="H718" s="18"/>
      <c r="I718" s="12"/>
      <c r="J718" s="18"/>
      <c r="K718" s="13"/>
    </row>
    <row r="719">
      <c r="F719" s="18"/>
      <c r="G719" s="12"/>
      <c r="H719" s="18"/>
      <c r="I719" s="12"/>
      <c r="J719" s="18"/>
      <c r="K719" s="13"/>
    </row>
    <row r="720">
      <c r="F720" s="18"/>
      <c r="G720" s="12"/>
      <c r="H720" s="18"/>
      <c r="I720" s="12"/>
      <c r="J720" s="18"/>
      <c r="K720" s="13"/>
    </row>
    <row r="721">
      <c r="F721" s="18"/>
      <c r="G721" s="12"/>
      <c r="H721" s="18"/>
      <c r="I721" s="12"/>
      <c r="J721" s="18"/>
      <c r="K721" s="13"/>
    </row>
    <row r="722">
      <c r="F722" s="18"/>
      <c r="G722" s="12"/>
      <c r="H722" s="18"/>
      <c r="I722" s="12"/>
      <c r="J722" s="18"/>
      <c r="K722" s="13"/>
    </row>
    <row r="723">
      <c r="F723" s="18"/>
      <c r="G723" s="12"/>
      <c r="H723" s="18"/>
      <c r="I723" s="12"/>
      <c r="J723" s="18"/>
      <c r="K723" s="13"/>
    </row>
    <row r="724">
      <c r="F724" s="18"/>
      <c r="G724" s="12"/>
      <c r="H724" s="18"/>
      <c r="I724" s="12"/>
      <c r="J724" s="18"/>
      <c r="K724" s="13"/>
    </row>
    <row r="725">
      <c r="F725" s="18"/>
      <c r="G725" s="12"/>
      <c r="H725" s="18"/>
      <c r="I725" s="12"/>
      <c r="J725" s="18"/>
      <c r="K725" s="13"/>
    </row>
    <row r="726">
      <c r="F726" s="18"/>
      <c r="G726" s="12"/>
      <c r="H726" s="18"/>
      <c r="I726" s="12"/>
      <c r="J726" s="18"/>
      <c r="K726" s="13"/>
    </row>
    <row r="727">
      <c r="F727" s="18"/>
      <c r="G727" s="12"/>
      <c r="H727" s="18"/>
      <c r="I727" s="12"/>
      <c r="J727" s="18"/>
      <c r="K727" s="13"/>
    </row>
    <row r="728">
      <c r="F728" s="18"/>
      <c r="G728" s="12"/>
      <c r="H728" s="18"/>
      <c r="I728" s="12"/>
      <c r="J728" s="18"/>
      <c r="K728" s="13"/>
    </row>
    <row r="729">
      <c r="F729" s="18"/>
      <c r="G729" s="12"/>
      <c r="H729" s="18"/>
      <c r="I729" s="12"/>
      <c r="J729" s="18"/>
      <c r="K729" s="13"/>
    </row>
    <row r="730">
      <c r="F730" s="18"/>
      <c r="G730" s="12"/>
      <c r="H730" s="18"/>
      <c r="I730" s="12"/>
      <c r="J730" s="18"/>
      <c r="K730" s="13"/>
    </row>
    <row r="731">
      <c r="F731" s="18"/>
      <c r="G731" s="12"/>
      <c r="H731" s="18"/>
      <c r="I731" s="12"/>
      <c r="J731" s="18"/>
      <c r="K731" s="13"/>
    </row>
    <row r="732">
      <c r="F732" s="18"/>
      <c r="G732" s="12"/>
      <c r="H732" s="18"/>
      <c r="I732" s="12"/>
      <c r="J732" s="18"/>
      <c r="K732" s="13"/>
    </row>
    <row r="733">
      <c r="F733" s="18"/>
      <c r="G733" s="12"/>
      <c r="H733" s="18"/>
      <c r="I733" s="12"/>
      <c r="J733" s="18"/>
      <c r="K733" s="13"/>
    </row>
    <row r="734">
      <c r="F734" s="18"/>
      <c r="G734" s="12"/>
      <c r="H734" s="18"/>
      <c r="I734" s="12"/>
      <c r="J734" s="18"/>
      <c r="K734" s="13"/>
    </row>
    <row r="735">
      <c r="F735" s="18"/>
      <c r="G735" s="12"/>
      <c r="H735" s="18"/>
      <c r="I735" s="12"/>
      <c r="J735" s="18"/>
      <c r="K735" s="13"/>
    </row>
    <row r="736">
      <c r="F736" s="18"/>
      <c r="G736" s="12"/>
      <c r="H736" s="18"/>
      <c r="I736" s="12"/>
      <c r="J736" s="18"/>
      <c r="K736" s="13"/>
    </row>
    <row r="737">
      <c r="F737" s="18"/>
      <c r="G737" s="12"/>
      <c r="H737" s="18"/>
      <c r="I737" s="12"/>
      <c r="J737" s="18"/>
      <c r="K737" s="13"/>
    </row>
    <row r="738">
      <c r="F738" s="18"/>
      <c r="G738" s="12"/>
      <c r="H738" s="18"/>
      <c r="I738" s="12"/>
      <c r="J738" s="18"/>
      <c r="K738" s="13"/>
    </row>
    <row r="739">
      <c r="F739" s="18"/>
      <c r="G739" s="12"/>
      <c r="H739" s="18"/>
      <c r="I739" s="12"/>
      <c r="J739" s="18"/>
      <c r="K739" s="13"/>
    </row>
    <row r="740">
      <c r="F740" s="18"/>
      <c r="G740" s="12"/>
      <c r="H740" s="18"/>
      <c r="I740" s="12"/>
      <c r="J740" s="18"/>
      <c r="K740" s="13"/>
    </row>
    <row r="741">
      <c r="F741" s="18"/>
      <c r="G741" s="12"/>
      <c r="H741" s="18"/>
      <c r="I741" s="12"/>
      <c r="J741" s="18"/>
      <c r="K741" s="13"/>
    </row>
    <row r="742">
      <c r="F742" s="18"/>
      <c r="G742" s="12"/>
      <c r="H742" s="18"/>
      <c r="I742" s="12"/>
      <c r="J742" s="18"/>
      <c r="K742" s="13"/>
    </row>
    <row r="743">
      <c r="F743" s="18"/>
      <c r="G743" s="12"/>
      <c r="H743" s="18"/>
      <c r="I743" s="12"/>
      <c r="J743" s="18"/>
      <c r="K743" s="13"/>
    </row>
    <row r="744">
      <c r="F744" s="18"/>
      <c r="G744" s="12"/>
      <c r="H744" s="18"/>
      <c r="I744" s="12"/>
      <c r="J744" s="18"/>
      <c r="K744" s="13"/>
    </row>
    <row r="745">
      <c r="F745" s="18"/>
      <c r="G745" s="12"/>
      <c r="H745" s="18"/>
      <c r="I745" s="12"/>
      <c r="J745" s="18"/>
      <c r="K745" s="13"/>
    </row>
    <row r="746">
      <c r="F746" s="18"/>
      <c r="G746" s="12"/>
      <c r="H746" s="18"/>
      <c r="I746" s="12"/>
      <c r="J746" s="18"/>
      <c r="K746" s="13"/>
    </row>
    <row r="747">
      <c r="F747" s="18"/>
      <c r="G747" s="12"/>
      <c r="H747" s="18"/>
      <c r="I747" s="12"/>
      <c r="J747" s="18"/>
      <c r="K747" s="13"/>
    </row>
    <row r="748">
      <c r="F748" s="18"/>
      <c r="G748" s="12"/>
      <c r="H748" s="18"/>
      <c r="I748" s="12"/>
      <c r="J748" s="18"/>
      <c r="K748" s="13"/>
    </row>
    <row r="749">
      <c r="F749" s="18"/>
      <c r="G749" s="12"/>
      <c r="H749" s="18"/>
      <c r="I749" s="12"/>
      <c r="J749" s="18"/>
      <c r="K749" s="13"/>
    </row>
    <row r="750">
      <c r="F750" s="18"/>
      <c r="G750" s="12"/>
      <c r="H750" s="18"/>
      <c r="I750" s="12"/>
      <c r="J750" s="18"/>
      <c r="K750" s="13"/>
    </row>
    <row r="751">
      <c r="F751" s="18"/>
      <c r="G751" s="12"/>
      <c r="H751" s="18"/>
      <c r="I751" s="12"/>
      <c r="J751" s="18"/>
      <c r="K751" s="13"/>
    </row>
    <row r="752">
      <c r="F752" s="18"/>
      <c r="G752" s="12"/>
      <c r="H752" s="18"/>
      <c r="I752" s="12"/>
      <c r="J752" s="18"/>
      <c r="K752" s="13"/>
    </row>
    <row r="753">
      <c r="F753" s="18"/>
      <c r="G753" s="12"/>
      <c r="H753" s="18"/>
      <c r="I753" s="12"/>
      <c r="J753" s="18"/>
      <c r="K753" s="13"/>
    </row>
    <row r="754">
      <c r="F754" s="18"/>
      <c r="G754" s="12"/>
      <c r="H754" s="18"/>
      <c r="I754" s="12"/>
      <c r="J754" s="18"/>
      <c r="K754" s="13"/>
    </row>
    <row r="755">
      <c r="F755" s="18"/>
      <c r="G755" s="12"/>
      <c r="H755" s="18"/>
      <c r="I755" s="12"/>
      <c r="J755" s="18"/>
      <c r="K755" s="13"/>
    </row>
    <row r="756">
      <c r="F756" s="18"/>
      <c r="G756" s="12"/>
      <c r="H756" s="18"/>
      <c r="I756" s="12"/>
      <c r="J756" s="18"/>
      <c r="K756" s="13"/>
    </row>
    <row r="757">
      <c r="F757" s="18"/>
      <c r="G757" s="12"/>
      <c r="H757" s="18"/>
      <c r="I757" s="12"/>
      <c r="J757" s="18"/>
      <c r="K757" s="13"/>
    </row>
    <row r="758">
      <c r="F758" s="18"/>
      <c r="G758" s="12"/>
      <c r="H758" s="18"/>
      <c r="I758" s="12"/>
      <c r="J758" s="18"/>
      <c r="K758" s="13"/>
    </row>
    <row r="759">
      <c r="F759" s="18"/>
      <c r="G759" s="12"/>
      <c r="H759" s="18"/>
      <c r="I759" s="12"/>
      <c r="J759" s="18"/>
      <c r="K759" s="13"/>
    </row>
    <row r="760">
      <c r="F760" s="18"/>
      <c r="G760" s="12"/>
      <c r="H760" s="18"/>
      <c r="I760" s="12"/>
      <c r="J760" s="18"/>
      <c r="K760" s="13"/>
    </row>
    <row r="761">
      <c r="F761" s="18"/>
      <c r="G761" s="12"/>
      <c r="H761" s="18"/>
      <c r="I761" s="12"/>
      <c r="J761" s="18"/>
      <c r="K761" s="13"/>
    </row>
    <row r="762">
      <c r="F762" s="18"/>
      <c r="G762" s="12"/>
      <c r="H762" s="18"/>
      <c r="I762" s="12"/>
      <c r="J762" s="18"/>
      <c r="K762" s="13"/>
    </row>
    <row r="763">
      <c r="F763" s="18"/>
      <c r="G763" s="12"/>
      <c r="H763" s="18"/>
      <c r="I763" s="12"/>
      <c r="J763" s="18"/>
      <c r="K763" s="13"/>
    </row>
    <row r="764">
      <c r="F764" s="18"/>
      <c r="G764" s="12"/>
      <c r="H764" s="18"/>
      <c r="I764" s="12"/>
      <c r="J764" s="18"/>
      <c r="K764" s="13"/>
    </row>
    <row r="765">
      <c r="F765" s="18"/>
      <c r="G765" s="12"/>
      <c r="H765" s="18"/>
      <c r="I765" s="12"/>
      <c r="J765" s="18"/>
      <c r="K765" s="13"/>
    </row>
    <row r="766">
      <c r="F766" s="18"/>
      <c r="G766" s="12"/>
      <c r="H766" s="18"/>
      <c r="I766" s="12"/>
      <c r="J766" s="18"/>
      <c r="K766" s="13"/>
    </row>
    <row r="767">
      <c r="F767" s="18"/>
      <c r="G767" s="12"/>
      <c r="H767" s="18"/>
      <c r="I767" s="12"/>
      <c r="J767" s="18"/>
      <c r="K767" s="13"/>
    </row>
    <row r="768">
      <c r="F768" s="18"/>
      <c r="G768" s="12"/>
      <c r="H768" s="18"/>
      <c r="I768" s="12"/>
      <c r="J768" s="18"/>
      <c r="K768" s="13"/>
    </row>
    <row r="769">
      <c r="F769" s="18"/>
      <c r="G769" s="12"/>
      <c r="H769" s="18"/>
      <c r="I769" s="12"/>
      <c r="J769" s="18"/>
      <c r="K769" s="13"/>
    </row>
    <row r="770">
      <c r="F770" s="18"/>
      <c r="G770" s="12"/>
      <c r="H770" s="18"/>
      <c r="I770" s="12"/>
      <c r="J770" s="18"/>
      <c r="K770" s="13"/>
    </row>
    <row r="771">
      <c r="F771" s="18"/>
      <c r="G771" s="12"/>
      <c r="H771" s="18"/>
      <c r="I771" s="12"/>
      <c r="J771" s="18"/>
      <c r="K771" s="13"/>
    </row>
    <row r="772">
      <c r="F772" s="18"/>
      <c r="G772" s="12"/>
      <c r="H772" s="18"/>
      <c r="I772" s="12"/>
      <c r="J772" s="18"/>
      <c r="K772" s="13"/>
    </row>
    <row r="773">
      <c r="F773" s="18"/>
      <c r="G773" s="12"/>
      <c r="H773" s="18"/>
      <c r="I773" s="12"/>
      <c r="J773" s="18"/>
      <c r="K773" s="13"/>
    </row>
    <row r="774">
      <c r="F774" s="18"/>
      <c r="G774" s="12"/>
      <c r="H774" s="18"/>
      <c r="I774" s="12"/>
      <c r="J774" s="18"/>
      <c r="K774" s="13"/>
    </row>
    <row r="775">
      <c r="F775" s="18"/>
      <c r="G775" s="12"/>
      <c r="H775" s="18"/>
      <c r="I775" s="12"/>
      <c r="J775" s="18"/>
      <c r="K775" s="13"/>
    </row>
    <row r="776">
      <c r="F776" s="18"/>
      <c r="G776" s="12"/>
      <c r="H776" s="18"/>
      <c r="I776" s="12"/>
      <c r="J776" s="18"/>
      <c r="K776" s="13"/>
    </row>
    <row r="777">
      <c r="F777" s="18"/>
      <c r="G777" s="12"/>
      <c r="H777" s="18"/>
      <c r="I777" s="12"/>
      <c r="J777" s="18"/>
      <c r="K777" s="13"/>
    </row>
    <row r="778">
      <c r="F778" s="18"/>
      <c r="G778" s="12"/>
      <c r="H778" s="18"/>
      <c r="I778" s="12"/>
      <c r="J778" s="18"/>
      <c r="K778" s="13"/>
    </row>
    <row r="779">
      <c r="F779" s="18"/>
      <c r="G779" s="12"/>
      <c r="H779" s="18"/>
      <c r="I779" s="12"/>
      <c r="J779" s="18"/>
      <c r="K779" s="13"/>
    </row>
    <row r="780">
      <c r="F780" s="18"/>
      <c r="G780" s="12"/>
      <c r="H780" s="18"/>
      <c r="I780" s="12"/>
      <c r="J780" s="18"/>
      <c r="K780" s="13"/>
    </row>
    <row r="781">
      <c r="F781" s="18"/>
      <c r="G781" s="12"/>
      <c r="H781" s="18"/>
      <c r="I781" s="12"/>
      <c r="J781" s="18"/>
      <c r="K781" s="13"/>
    </row>
    <row r="782">
      <c r="F782" s="18"/>
      <c r="G782" s="12"/>
      <c r="H782" s="18"/>
      <c r="I782" s="12"/>
      <c r="J782" s="18"/>
      <c r="K782" s="13"/>
    </row>
    <row r="783">
      <c r="F783" s="18"/>
      <c r="G783" s="12"/>
      <c r="H783" s="18"/>
      <c r="I783" s="12"/>
      <c r="J783" s="18"/>
      <c r="K783" s="13"/>
    </row>
    <row r="784">
      <c r="F784" s="18"/>
      <c r="G784" s="12"/>
      <c r="H784" s="18"/>
      <c r="I784" s="12"/>
      <c r="J784" s="18"/>
      <c r="K784" s="13"/>
    </row>
    <row r="785">
      <c r="F785" s="18"/>
      <c r="G785" s="12"/>
      <c r="H785" s="18"/>
      <c r="I785" s="12"/>
      <c r="J785" s="18"/>
      <c r="K785" s="13"/>
    </row>
    <row r="786">
      <c r="F786" s="18"/>
      <c r="G786" s="12"/>
      <c r="H786" s="18"/>
      <c r="I786" s="12"/>
      <c r="J786" s="18"/>
      <c r="K786" s="13"/>
    </row>
    <row r="787">
      <c r="F787" s="18"/>
      <c r="G787" s="12"/>
      <c r="H787" s="18"/>
      <c r="I787" s="12"/>
      <c r="J787" s="18"/>
      <c r="K787" s="13"/>
    </row>
    <row r="788">
      <c r="F788" s="18"/>
      <c r="G788" s="12"/>
      <c r="H788" s="18"/>
      <c r="I788" s="12"/>
      <c r="J788" s="18"/>
      <c r="K788" s="13"/>
    </row>
    <row r="789">
      <c r="F789" s="18"/>
      <c r="G789" s="12"/>
      <c r="H789" s="18"/>
      <c r="I789" s="12"/>
      <c r="J789" s="18"/>
      <c r="K789" s="13"/>
    </row>
    <row r="790">
      <c r="F790" s="18"/>
      <c r="G790" s="12"/>
      <c r="H790" s="18"/>
      <c r="I790" s="12"/>
      <c r="J790" s="18"/>
      <c r="K790" s="13"/>
    </row>
    <row r="791">
      <c r="F791" s="18"/>
      <c r="G791" s="12"/>
      <c r="H791" s="18"/>
      <c r="I791" s="12"/>
      <c r="J791" s="18"/>
      <c r="K791" s="13"/>
    </row>
    <row r="792">
      <c r="F792" s="18"/>
      <c r="G792" s="12"/>
      <c r="H792" s="18"/>
      <c r="I792" s="12"/>
      <c r="J792" s="18"/>
      <c r="K792" s="13"/>
    </row>
    <row r="793">
      <c r="F793" s="18"/>
      <c r="G793" s="12"/>
      <c r="H793" s="18"/>
      <c r="I793" s="12"/>
      <c r="J793" s="18"/>
      <c r="K793" s="13"/>
    </row>
    <row r="794">
      <c r="F794" s="18"/>
      <c r="G794" s="12"/>
      <c r="H794" s="18"/>
      <c r="I794" s="12"/>
      <c r="J794" s="18"/>
      <c r="K794" s="13"/>
    </row>
    <row r="795">
      <c r="F795" s="18"/>
      <c r="G795" s="12"/>
      <c r="H795" s="18"/>
      <c r="I795" s="12"/>
      <c r="J795" s="18"/>
      <c r="K795" s="13"/>
    </row>
    <row r="796">
      <c r="F796" s="18"/>
      <c r="G796" s="12"/>
      <c r="H796" s="18"/>
      <c r="I796" s="12"/>
      <c r="J796" s="18"/>
      <c r="K796" s="13"/>
    </row>
    <row r="797">
      <c r="F797" s="18"/>
      <c r="G797" s="12"/>
      <c r="H797" s="18"/>
      <c r="I797" s="12"/>
      <c r="J797" s="18"/>
      <c r="K797" s="13"/>
    </row>
    <row r="798">
      <c r="F798" s="18"/>
      <c r="G798" s="12"/>
      <c r="H798" s="18"/>
      <c r="I798" s="12"/>
      <c r="J798" s="18"/>
      <c r="K798" s="13"/>
    </row>
    <row r="799">
      <c r="F799" s="18"/>
      <c r="G799" s="12"/>
      <c r="H799" s="18"/>
      <c r="I799" s="12"/>
      <c r="J799" s="18"/>
      <c r="K799" s="13"/>
    </row>
    <row r="800">
      <c r="F800" s="18"/>
      <c r="G800" s="12"/>
      <c r="H800" s="18"/>
      <c r="I800" s="12"/>
      <c r="J800" s="18"/>
      <c r="K800" s="13"/>
    </row>
    <row r="801">
      <c r="F801" s="18"/>
      <c r="G801" s="12"/>
      <c r="H801" s="18"/>
      <c r="I801" s="12"/>
      <c r="J801" s="18"/>
      <c r="K801" s="13"/>
    </row>
    <row r="802">
      <c r="F802" s="18"/>
      <c r="G802" s="12"/>
      <c r="H802" s="18"/>
      <c r="I802" s="12"/>
      <c r="J802" s="18"/>
      <c r="K802" s="13"/>
    </row>
    <row r="803">
      <c r="F803" s="18"/>
      <c r="G803" s="12"/>
      <c r="H803" s="18"/>
      <c r="I803" s="12"/>
      <c r="J803" s="18"/>
      <c r="K803" s="13"/>
    </row>
    <row r="804">
      <c r="F804" s="18"/>
      <c r="G804" s="12"/>
      <c r="H804" s="18"/>
      <c r="I804" s="12"/>
      <c r="J804" s="18"/>
      <c r="K804" s="13"/>
    </row>
    <row r="805">
      <c r="F805" s="18"/>
      <c r="G805" s="12"/>
      <c r="H805" s="18"/>
      <c r="I805" s="12"/>
      <c r="J805" s="18"/>
      <c r="K805" s="13"/>
    </row>
    <row r="806">
      <c r="F806" s="18"/>
      <c r="G806" s="12"/>
      <c r="H806" s="18"/>
      <c r="I806" s="12"/>
      <c r="J806" s="18"/>
      <c r="K806" s="13"/>
    </row>
    <row r="807">
      <c r="F807" s="18"/>
      <c r="G807" s="12"/>
      <c r="H807" s="18"/>
      <c r="I807" s="12"/>
      <c r="J807" s="18"/>
      <c r="K807" s="13"/>
    </row>
    <row r="808">
      <c r="F808" s="18"/>
      <c r="G808" s="12"/>
      <c r="H808" s="18"/>
      <c r="I808" s="12"/>
      <c r="J808" s="18"/>
      <c r="K808" s="13"/>
    </row>
    <row r="809">
      <c r="F809" s="18"/>
      <c r="G809" s="12"/>
      <c r="H809" s="18"/>
      <c r="I809" s="12"/>
      <c r="J809" s="18"/>
      <c r="K809" s="13"/>
    </row>
    <row r="810">
      <c r="F810" s="18"/>
      <c r="G810" s="12"/>
      <c r="H810" s="18"/>
      <c r="I810" s="12"/>
      <c r="J810" s="18"/>
      <c r="K810" s="13"/>
    </row>
    <row r="811">
      <c r="F811" s="18"/>
      <c r="G811" s="12"/>
      <c r="H811" s="18"/>
      <c r="I811" s="12"/>
      <c r="J811" s="18"/>
      <c r="K811" s="13"/>
    </row>
    <row r="812">
      <c r="F812" s="18"/>
      <c r="G812" s="12"/>
      <c r="H812" s="18"/>
      <c r="I812" s="12"/>
      <c r="J812" s="18"/>
      <c r="K812" s="13"/>
    </row>
    <row r="813">
      <c r="F813" s="18"/>
      <c r="G813" s="12"/>
      <c r="H813" s="18"/>
      <c r="I813" s="12"/>
      <c r="J813" s="18"/>
      <c r="K813" s="13"/>
    </row>
    <row r="814">
      <c r="F814" s="18"/>
      <c r="G814" s="12"/>
      <c r="H814" s="18"/>
      <c r="I814" s="12"/>
      <c r="J814" s="18"/>
      <c r="K814" s="13"/>
    </row>
    <row r="815">
      <c r="F815" s="18"/>
      <c r="G815" s="12"/>
      <c r="H815" s="18"/>
      <c r="I815" s="12"/>
      <c r="J815" s="18"/>
      <c r="K815" s="13"/>
    </row>
    <row r="816">
      <c r="F816" s="18"/>
      <c r="G816" s="12"/>
      <c r="H816" s="18"/>
      <c r="I816" s="12"/>
      <c r="J816" s="18"/>
      <c r="K816" s="13"/>
    </row>
    <row r="817">
      <c r="F817" s="18"/>
      <c r="G817" s="12"/>
      <c r="H817" s="18"/>
      <c r="I817" s="12"/>
      <c r="J817" s="18"/>
      <c r="K817" s="13"/>
    </row>
    <row r="818">
      <c r="F818" s="18"/>
      <c r="G818" s="12"/>
      <c r="H818" s="18"/>
      <c r="I818" s="12"/>
      <c r="J818" s="18"/>
      <c r="K818" s="13"/>
    </row>
    <row r="819">
      <c r="F819" s="18"/>
      <c r="G819" s="12"/>
      <c r="H819" s="18"/>
      <c r="I819" s="12"/>
      <c r="J819" s="18"/>
      <c r="K819" s="13"/>
    </row>
    <row r="820">
      <c r="F820" s="18"/>
      <c r="G820" s="12"/>
      <c r="H820" s="18"/>
      <c r="I820" s="12"/>
      <c r="J820" s="18"/>
      <c r="K820" s="13"/>
    </row>
    <row r="821">
      <c r="F821" s="18"/>
      <c r="G821" s="12"/>
      <c r="H821" s="18"/>
      <c r="I821" s="12"/>
      <c r="J821" s="18"/>
      <c r="K821" s="13"/>
    </row>
    <row r="822">
      <c r="F822" s="18"/>
      <c r="G822" s="12"/>
      <c r="H822" s="18"/>
      <c r="I822" s="12"/>
      <c r="J822" s="18"/>
      <c r="K822" s="13"/>
    </row>
    <row r="823">
      <c r="F823" s="18"/>
      <c r="G823" s="12"/>
      <c r="H823" s="18"/>
      <c r="I823" s="12"/>
      <c r="J823" s="18"/>
      <c r="K823" s="13"/>
    </row>
    <row r="824">
      <c r="F824" s="18"/>
      <c r="G824" s="12"/>
      <c r="H824" s="18"/>
      <c r="I824" s="12"/>
      <c r="J824" s="18"/>
      <c r="K824" s="13"/>
    </row>
    <row r="825">
      <c r="F825" s="18"/>
      <c r="G825" s="12"/>
      <c r="H825" s="18"/>
      <c r="I825" s="12"/>
      <c r="J825" s="18"/>
      <c r="K825" s="13"/>
    </row>
    <row r="826">
      <c r="F826" s="18"/>
      <c r="G826" s="12"/>
      <c r="H826" s="18"/>
      <c r="I826" s="12"/>
      <c r="J826" s="18"/>
      <c r="K826" s="13"/>
    </row>
    <row r="827">
      <c r="F827" s="18"/>
      <c r="G827" s="12"/>
      <c r="H827" s="18"/>
      <c r="I827" s="12"/>
      <c r="J827" s="18"/>
      <c r="K827" s="13"/>
    </row>
    <row r="828">
      <c r="F828" s="18"/>
      <c r="G828" s="12"/>
      <c r="H828" s="18"/>
      <c r="I828" s="12"/>
      <c r="J828" s="18"/>
      <c r="K828" s="13"/>
    </row>
    <row r="829">
      <c r="F829" s="18"/>
      <c r="G829" s="12"/>
      <c r="H829" s="18"/>
      <c r="I829" s="12"/>
      <c r="J829" s="18"/>
      <c r="K829" s="13"/>
    </row>
    <row r="830">
      <c r="F830" s="18"/>
      <c r="G830" s="12"/>
      <c r="H830" s="18"/>
      <c r="I830" s="12"/>
      <c r="J830" s="18"/>
      <c r="K830" s="13"/>
    </row>
    <row r="831">
      <c r="F831" s="18"/>
      <c r="G831" s="12"/>
      <c r="H831" s="18"/>
      <c r="I831" s="12"/>
      <c r="J831" s="18"/>
      <c r="K831" s="13"/>
    </row>
    <row r="832">
      <c r="F832" s="18"/>
      <c r="G832" s="12"/>
      <c r="H832" s="18"/>
      <c r="I832" s="12"/>
      <c r="J832" s="18"/>
      <c r="K832" s="13"/>
    </row>
    <row r="833">
      <c r="F833" s="18"/>
      <c r="G833" s="12"/>
      <c r="H833" s="18"/>
      <c r="I833" s="12"/>
      <c r="J833" s="18"/>
      <c r="K833" s="13"/>
    </row>
    <row r="834">
      <c r="F834" s="18"/>
      <c r="G834" s="12"/>
      <c r="H834" s="18"/>
      <c r="I834" s="12"/>
      <c r="J834" s="18"/>
      <c r="K834" s="13"/>
    </row>
    <row r="835">
      <c r="F835" s="18"/>
      <c r="G835" s="12"/>
      <c r="H835" s="18"/>
      <c r="I835" s="12"/>
      <c r="J835" s="18"/>
      <c r="K835" s="13"/>
    </row>
    <row r="836">
      <c r="F836" s="18"/>
      <c r="G836" s="12"/>
      <c r="H836" s="18"/>
      <c r="I836" s="12"/>
      <c r="J836" s="18"/>
      <c r="K836" s="13"/>
    </row>
    <row r="837">
      <c r="F837" s="18"/>
      <c r="G837" s="12"/>
      <c r="H837" s="18"/>
      <c r="I837" s="12"/>
      <c r="J837" s="18"/>
      <c r="K837" s="13"/>
    </row>
    <row r="838">
      <c r="F838" s="18"/>
      <c r="G838" s="12"/>
      <c r="H838" s="18"/>
      <c r="I838" s="12"/>
      <c r="J838" s="18"/>
      <c r="K838" s="13"/>
    </row>
    <row r="839">
      <c r="F839" s="18"/>
      <c r="G839" s="12"/>
      <c r="H839" s="18"/>
      <c r="I839" s="12"/>
      <c r="J839" s="18"/>
      <c r="K839" s="13"/>
    </row>
    <row r="840">
      <c r="F840" s="18"/>
      <c r="G840" s="12"/>
      <c r="H840" s="18"/>
      <c r="I840" s="12"/>
      <c r="J840" s="18"/>
      <c r="K840" s="13"/>
    </row>
    <row r="841">
      <c r="F841" s="18"/>
      <c r="G841" s="12"/>
      <c r="H841" s="18"/>
      <c r="I841" s="12"/>
      <c r="J841" s="18"/>
      <c r="K841" s="13"/>
    </row>
    <row r="842">
      <c r="F842" s="18"/>
      <c r="G842" s="12"/>
      <c r="H842" s="18"/>
      <c r="I842" s="12"/>
      <c r="J842" s="18"/>
      <c r="K842" s="13"/>
    </row>
    <row r="843">
      <c r="F843" s="18"/>
      <c r="G843" s="12"/>
      <c r="H843" s="18"/>
      <c r="I843" s="12"/>
      <c r="J843" s="18"/>
      <c r="K843" s="13"/>
    </row>
    <row r="844">
      <c r="F844" s="18"/>
      <c r="G844" s="12"/>
      <c r="H844" s="18"/>
      <c r="I844" s="12"/>
      <c r="J844" s="18"/>
      <c r="K844" s="13"/>
    </row>
    <row r="845">
      <c r="F845" s="18"/>
      <c r="G845" s="12"/>
      <c r="H845" s="18"/>
      <c r="I845" s="12"/>
      <c r="J845" s="18"/>
      <c r="K845" s="13"/>
    </row>
    <row r="846">
      <c r="F846" s="18"/>
      <c r="G846" s="12"/>
      <c r="H846" s="18"/>
      <c r="I846" s="12"/>
      <c r="J846" s="18"/>
      <c r="K846" s="13"/>
    </row>
    <row r="847">
      <c r="F847" s="18"/>
      <c r="G847" s="12"/>
      <c r="H847" s="18"/>
      <c r="I847" s="12"/>
      <c r="J847" s="18"/>
      <c r="K847" s="13"/>
    </row>
    <row r="848">
      <c r="F848" s="18"/>
      <c r="G848" s="12"/>
      <c r="H848" s="18"/>
      <c r="I848" s="12"/>
      <c r="J848" s="18"/>
      <c r="K848" s="13"/>
    </row>
    <row r="849">
      <c r="F849" s="18"/>
      <c r="G849" s="12"/>
      <c r="H849" s="18"/>
      <c r="I849" s="12"/>
      <c r="J849" s="18"/>
      <c r="K849" s="13"/>
    </row>
    <row r="850">
      <c r="F850" s="18"/>
      <c r="G850" s="12"/>
      <c r="H850" s="18"/>
      <c r="I850" s="12"/>
      <c r="J850" s="18"/>
      <c r="K850" s="13"/>
    </row>
    <row r="851">
      <c r="F851" s="18"/>
      <c r="G851" s="12"/>
      <c r="H851" s="18"/>
      <c r="I851" s="12"/>
      <c r="J851" s="18"/>
      <c r="K851" s="13"/>
    </row>
    <row r="852">
      <c r="F852" s="18"/>
      <c r="G852" s="12"/>
      <c r="H852" s="18"/>
      <c r="I852" s="12"/>
      <c r="J852" s="18"/>
      <c r="K852" s="13"/>
    </row>
    <row r="853">
      <c r="F853" s="18"/>
      <c r="G853" s="12"/>
      <c r="H853" s="18"/>
      <c r="I853" s="12"/>
      <c r="J853" s="18"/>
      <c r="K853" s="13"/>
    </row>
    <row r="854">
      <c r="F854" s="18"/>
      <c r="G854" s="12"/>
      <c r="H854" s="18"/>
      <c r="I854" s="12"/>
      <c r="J854" s="18"/>
      <c r="K854" s="13"/>
    </row>
    <row r="855">
      <c r="F855" s="18"/>
      <c r="G855" s="12"/>
      <c r="H855" s="18"/>
      <c r="I855" s="12"/>
      <c r="J855" s="18"/>
      <c r="K855" s="13"/>
    </row>
    <row r="856">
      <c r="F856" s="18"/>
      <c r="G856" s="12"/>
      <c r="H856" s="18"/>
      <c r="I856" s="12"/>
      <c r="J856" s="18"/>
      <c r="K856" s="13"/>
    </row>
    <row r="857">
      <c r="F857" s="18"/>
      <c r="G857" s="12"/>
      <c r="H857" s="18"/>
      <c r="I857" s="12"/>
      <c r="J857" s="18"/>
      <c r="K857" s="13"/>
    </row>
    <row r="858">
      <c r="F858" s="18"/>
      <c r="G858" s="12"/>
      <c r="H858" s="18"/>
      <c r="I858" s="12"/>
      <c r="J858" s="18"/>
      <c r="K858" s="13"/>
    </row>
    <row r="859">
      <c r="F859" s="18"/>
      <c r="G859" s="12"/>
      <c r="H859" s="18"/>
      <c r="I859" s="12"/>
      <c r="J859" s="18"/>
      <c r="K859" s="13"/>
    </row>
    <row r="860">
      <c r="F860" s="18"/>
      <c r="G860" s="12"/>
      <c r="H860" s="18"/>
      <c r="I860" s="12"/>
      <c r="J860" s="18"/>
      <c r="K860" s="13"/>
    </row>
    <row r="861">
      <c r="F861" s="18"/>
      <c r="G861" s="12"/>
      <c r="H861" s="18"/>
      <c r="I861" s="12"/>
      <c r="J861" s="18"/>
      <c r="K861" s="13"/>
    </row>
    <row r="862">
      <c r="F862" s="18"/>
      <c r="G862" s="12"/>
      <c r="H862" s="18"/>
      <c r="I862" s="12"/>
      <c r="J862" s="18"/>
      <c r="K862" s="13"/>
    </row>
    <row r="863">
      <c r="F863" s="18"/>
      <c r="G863" s="12"/>
      <c r="H863" s="18"/>
      <c r="I863" s="12"/>
      <c r="J863" s="18"/>
      <c r="K863" s="13"/>
    </row>
    <row r="864">
      <c r="F864" s="18"/>
      <c r="G864" s="12"/>
      <c r="H864" s="18"/>
      <c r="I864" s="12"/>
      <c r="J864" s="18"/>
      <c r="K864" s="13"/>
    </row>
    <row r="865">
      <c r="F865" s="18"/>
      <c r="G865" s="12"/>
      <c r="H865" s="18"/>
      <c r="I865" s="12"/>
      <c r="J865" s="18"/>
      <c r="K865" s="13"/>
    </row>
    <row r="866">
      <c r="F866" s="18"/>
      <c r="G866" s="12"/>
      <c r="H866" s="18"/>
      <c r="I866" s="12"/>
      <c r="J866" s="18"/>
      <c r="K866" s="13"/>
    </row>
    <row r="867">
      <c r="F867" s="18"/>
      <c r="G867" s="12"/>
      <c r="H867" s="18"/>
      <c r="I867" s="12"/>
      <c r="J867" s="18"/>
      <c r="K867" s="13"/>
    </row>
    <row r="868">
      <c r="F868" s="18"/>
      <c r="G868" s="12"/>
      <c r="H868" s="18"/>
      <c r="I868" s="12"/>
      <c r="J868" s="18"/>
      <c r="K868" s="13"/>
    </row>
    <row r="869">
      <c r="F869" s="18"/>
      <c r="G869" s="12"/>
      <c r="H869" s="18"/>
      <c r="I869" s="12"/>
      <c r="J869" s="18"/>
      <c r="K869" s="13"/>
    </row>
    <row r="870">
      <c r="F870" s="18"/>
      <c r="G870" s="12"/>
      <c r="H870" s="18"/>
      <c r="I870" s="12"/>
      <c r="J870" s="18"/>
      <c r="K870" s="13"/>
    </row>
    <row r="871">
      <c r="F871" s="18"/>
      <c r="G871" s="12"/>
      <c r="H871" s="18"/>
      <c r="I871" s="12"/>
      <c r="J871" s="18"/>
      <c r="K871" s="13"/>
    </row>
    <row r="872">
      <c r="F872" s="18"/>
      <c r="G872" s="12"/>
      <c r="H872" s="18"/>
      <c r="I872" s="12"/>
      <c r="J872" s="18"/>
      <c r="K872" s="13"/>
    </row>
    <row r="873">
      <c r="F873" s="18"/>
      <c r="G873" s="12"/>
      <c r="H873" s="18"/>
      <c r="I873" s="12"/>
      <c r="J873" s="18"/>
      <c r="K873" s="13"/>
    </row>
    <row r="874">
      <c r="F874" s="18"/>
      <c r="G874" s="12"/>
      <c r="H874" s="18"/>
      <c r="I874" s="12"/>
      <c r="J874" s="18"/>
      <c r="K874" s="13"/>
    </row>
    <row r="875">
      <c r="F875" s="18"/>
      <c r="G875" s="12"/>
      <c r="H875" s="18"/>
      <c r="I875" s="12"/>
      <c r="J875" s="18"/>
      <c r="K875" s="13"/>
    </row>
    <row r="876">
      <c r="F876" s="18"/>
      <c r="G876" s="12"/>
      <c r="H876" s="18"/>
      <c r="I876" s="12"/>
      <c r="J876" s="18"/>
      <c r="K876" s="13"/>
    </row>
    <row r="877">
      <c r="F877" s="18"/>
      <c r="G877" s="12"/>
      <c r="H877" s="18"/>
      <c r="I877" s="12"/>
      <c r="J877" s="18"/>
      <c r="K877" s="13"/>
    </row>
    <row r="878">
      <c r="F878" s="18"/>
      <c r="G878" s="12"/>
      <c r="H878" s="18"/>
      <c r="I878" s="12"/>
      <c r="J878" s="18"/>
      <c r="K878" s="13"/>
    </row>
    <row r="879">
      <c r="F879" s="18"/>
      <c r="G879" s="12"/>
      <c r="H879" s="18"/>
      <c r="I879" s="12"/>
      <c r="J879" s="18"/>
      <c r="K879" s="13"/>
    </row>
    <row r="880">
      <c r="F880" s="18"/>
      <c r="G880" s="12"/>
      <c r="H880" s="18"/>
      <c r="I880" s="12"/>
      <c r="J880" s="18"/>
      <c r="K880" s="13"/>
    </row>
    <row r="881">
      <c r="F881" s="18"/>
      <c r="G881" s="12"/>
      <c r="H881" s="18"/>
      <c r="I881" s="12"/>
      <c r="J881" s="18"/>
      <c r="K881" s="13"/>
    </row>
    <row r="882">
      <c r="F882" s="18"/>
      <c r="G882" s="12"/>
      <c r="H882" s="18"/>
      <c r="I882" s="12"/>
      <c r="J882" s="18"/>
      <c r="K882" s="13"/>
    </row>
    <row r="883">
      <c r="F883" s="18"/>
      <c r="G883" s="12"/>
      <c r="H883" s="18"/>
      <c r="I883" s="12"/>
      <c r="J883" s="18"/>
      <c r="K883" s="13"/>
    </row>
    <row r="884">
      <c r="F884" s="18"/>
      <c r="G884" s="12"/>
      <c r="H884" s="18"/>
      <c r="I884" s="12"/>
      <c r="J884" s="18"/>
      <c r="K884" s="13"/>
    </row>
    <row r="885">
      <c r="F885" s="18"/>
      <c r="G885" s="12"/>
      <c r="H885" s="18"/>
      <c r="I885" s="12"/>
      <c r="J885" s="18"/>
      <c r="K885" s="13"/>
    </row>
    <row r="886">
      <c r="F886" s="18"/>
      <c r="G886" s="12"/>
      <c r="H886" s="18"/>
      <c r="I886" s="12"/>
      <c r="J886" s="18"/>
      <c r="K886" s="13"/>
    </row>
    <row r="887">
      <c r="F887" s="18"/>
      <c r="G887" s="12"/>
      <c r="H887" s="18"/>
      <c r="I887" s="12"/>
      <c r="J887" s="18"/>
      <c r="K887" s="13"/>
    </row>
    <row r="888">
      <c r="F888" s="18"/>
      <c r="G888" s="12"/>
      <c r="H888" s="18"/>
      <c r="I888" s="12"/>
      <c r="J888" s="18"/>
      <c r="K888" s="13"/>
    </row>
    <row r="889">
      <c r="F889" s="18"/>
      <c r="G889" s="12"/>
      <c r="H889" s="18"/>
      <c r="I889" s="12"/>
      <c r="J889" s="18"/>
      <c r="K889" s="13"/>
    </row>
    <row r="890">
      <c r="F890" s="18"/>
      <c r="G890" s="12"/>
      <c r="H890" s="18"/>
      <c r="I890" s="12"/>
      <c r="J890" s="18"/>
      <c r="K890" s="13"/>
    </row>
    <row r="891">
      <c r="F891" s="18"/>
      <c r="G891" s="12"/>
      <c r="H891" s="18"/>
      <c r="I891" s="12"/>
      <c r="J891" s="18"/>
      <c r="K891" s="13"/>
    </row>
    <row r="892">
      <c r="F892" s="18"/>
      <c r="G892" s="12"/>
      <c r="H892" s="18"/>
      <c r="I892" s="12"/>
      <c r="J892" s="18"/>
      <c r="K892" s="13"/>
    </row>
    <row r="893">
      <c r="F893" s="18"/>
      <c r="G893" s="12"/>
      <c r="H893" s="18"/>
      <c r="I893" s="12"/>
      <c r="J893" s="18"/>
      <c r="K893" s="13"/>
    </row>
    <row r="894">
      <c r="F894" s="18"/>
      <c r="G894" s="12"/>
      <c r="H894" s="18"/>
      <c r="I894" s="12"/>
      <c r="J894" s="18"/>
      <c r="K894" s="13"/>
    </row>
    <row r="895">
      <c r="F895" s="18"/>
      <c r="G895" s="12"/>
      <c r="H895" s="18"/>
      <c r="I895" s="12"/>
      <c r="J895" s="18"/>
      <c r="K895" s="13"/>
    </row>
    <row r="896">
      <c r="F896" s="18"/>
      <c r="G896" s="12"/>
      <c r="H896" s="18"/>
      <c r="I896" s="12"/>
      <c r="J896" s="18"/>
      <c r="K896" s="13"/>
    </row>
    <row r="897">
      <c r="F897" s="18"/>
      <c r="G897" s="12"/>
      <c r="H897" s="18"/>
      <c r="I897" s="12"/>
      <c r="J897" s="18"/>
      <c r="K897" s="13"/>
    </row>
    <row r="898">
      <c r="F898" s="18"/>
      <c r="G898" s="12"/>
      <c r="H898" s="18"/>
      <c r="I898" s="12"/>
      <c r="J898" s="18"/>
      <c r="K898" s="13"/>
    </row>
    <row r="899">
      <c r="F899" s="18"/>
      <c r="G899" s="12"/>
      <c r="H899" s="18"/>
      <c r="I899" s="12"/>
      <c r="J899" s="18"/>
      <c r="K899" s="13"/>
    </row>
    <row r="900">
      <c r="F900" s="18"/>
      <c r="G900" s="12"/>
      <c r="H900" s="18"/>
      <c r="I900" s="12"/>
      <c r="J900" s="18"/>
      <c r="K900" s="13"/>
    </row>
    <row r="901">
      <c r="F901" s="18"/>
      <c r="G901" s="12"/>
      <c r="H901" s="18"/>
      <c r="I901" s="12"/>
      <c r="J901" s="18"/>
      <c r="K901" s="13"/>
    </row>
    <row r="902">
      <c r="F902" s="18"/>
      <c r="G902" s="12"/>
      <c r="H902" s="18"/>
      <c r="I902" s="12"/>
      <c r="J902" s="18"/>
      <c r="K902" s="13"/>
    </row>
    <row r="903">
      <c r="F903" s="18"/>
      <c r="G903" s="12"/>
      <c r="H903" s="18"/>
      <c r="I903" s="12"/>
      <c r="J903" s="18"/>
      <c r="K903" s="13"/>
    </row>
    <row r="904">
      <c r="F904" s="18"/>
      <c r="G904" s="12"/>
      <c r="H904" s="18"/>
      <c r="I904" s="12"/>
      <c r="J904" s="18"/>
      <c r="K904" s="13"/>
    </row>
    <row r="905">
      <c r="F905" s="18"/>
      <c r="G905" s="12"/>
      <c r="H905" s="18"/>
      <c r="I905" s="12"/>
      <c r="J905" s="18"/>
      <c r="K905" s="13"/>
    </row>
    <row r="906">
      <c r="F906" s="18"/>
      <c r="G906" s="12"/>
      <c r="H906" s="18"/>
      <c r="I906" s="12"/>
      <c r="J906" s="18"/>
      <c r="K906" s="13"/>
    </row>
    <row r="907">
      <c r="F907" s="18"/>
      <c r="G907" s="12"/>
      <c r="H907" s="18"/>
      <c r="I907" s="12"/>
      <c r="J907" s="18"/>
      <c r="K907" s="13"/>
    </row>
    <row r="908">
      <c r="F908" s="18"/>
      <c r="G908" s="12"/>
      <c r="H908" s="18"/>
      <c r="I908" s="12"/>
      <c r="J908" s="18"/>
      <c r="K908" s="13"/>
    </row>
    <row r="909">
      <c r="F909" s="18"/>
      <c r="G909" s="12"/>
      <c r="H909" s="18"/>
      <c r="I909" s="12"/>
      <c r="J909" s="18"/>
      <c r="K909" s="13"/>
    </row>
    <row r="910">
      <c r="F910" s="18"/>
      <c r="G910" s="12"/>
      <c r="H910" s="18"/>
      <c r="I910" s="12"/>
      <c r="J910" s="18"/>
      <c r="K910" s="13"/>
    </row>
    <row r="911">
      <c r="F911" s="18"/>
      <c r="G911" s="12"/>
      <c r="H911" s="18"/>
      <c r="I911" s="12"/>
      <c r="J911" s="18"/>
      <c r="K911" s="13"/>
    </row>
    <row r="912">
      <c r="F912" s="18"/>
      <c r="G912" s="12"/>
      <c r="H912" s="18"/>
      <c r="I912" s="12"/>
      <c r="J912" s="18"/>
      <c r="K912" s="13"/>
    </row>
    <row r="913">
      <c r="F913" s="18"/>
      <c r="G913" s="12"/>
      <c r="H913" s="18"/>
      <c r="I913" s="12"/>
      <c r="J913" s="18"/>
      <c r="K913" s="13"/>
    </row>
    <row r="914">
      <c r="F914" s="18"/>
      <c r="G914" s="12"/>
      <c r="H914" s="18"/>
      <c r="I914" s="12"/>
      <c r="J914" s="18"/>
      <c r="K914" s="13"/>
    </row>
    <row r="915">
      <c r="F915" s="18"/>
      <c r="G915" s="12"/>
      <c r="H915" s="18"/>
      <c r="I915" s="12"/>
      <c r="J915" s="18"/>
      <c r="K915" s="13"/>
    </row>
    <row r="916">
      <c r="F916" s="18"/>
      <c r="G916" s="12"/>
      <c r="H916" s="18"/>
      <c r="I916" s="12"/>
      <c r="J916" s="18"/>
      <c r="K916" s="13"/>
    </row>
    <row r="917">
      <c r="F917" s="18"/>
      <c r="G917" s="12"/>
      <c r="H917" s="18"/>
      <c r="I917" s="12"/>
      <c r="J917" s="18"/>
      <c r="K917" s="13"/>
    </row>
    <row r="918">
      <c r="F918" s="18"/>
      <c r="G918" s="12"/>
      <c r="H918" s="18"/>
      <c r="I918" s="12"/>
      <c r="J918" s="18"/>
      <c r="K918" s="13"/>
    </row>
    <row r="919">
      <c r="F919" s="18"/>
      <c r="G919" s="12"/>
      <c r="H919" s="18"/>
      <c r="I919" s="12"/>
      <c r="J919" s="18"/>
      <c r="K919" s="13"/>
    </row>
    <row r="920">
      <c r="F920" s="18"/>
      <c r="G920" s="12"/>
      <c r="H920" s="18"/>
      <c r="I920" s="12"/>
      <c r="J920" s="18"/>
      <c r="K920" s="13"/>
    </row>
    <row r="921">
      <c r="F921" s="18"/>
      <c r="G921" s="12"/>
      <c r="H921" s="18"/>
      <c r="I921" s="12"/>
      <c r="J921" s="18"/>
      <c r="K921" s="13"/>
    </row>
    <row r="922">
      <c r="F922" s="18"/>
      <c r="G922" s="12"/>
      <c r="H922" s="18"/>
      <c r="I922" s="12"/>
      <c r="J922" s="18"/>
      <c r="K922" s="13"/>
    </row>
    <row r="923">
      <c r="F923" s="18"/>
      <c r="G923" s="12"/>
      <c r="H923" s="18"/>
      <c r="I923" s="12"/>
      <c r="J923" s="18"/>
      <c r="K923" s="13"/>
    </row>
    <row r="924">
      <c r="F924" s="18"/>
      <c r="G924" s="12"/>
      <c r="H924" s="18"/>
      <c r="I924" s="12"/>
      <c r="J924" s="18"/>
      <c r="K924" s="13"/>
    </row>
    <row r="925">
      <c r="F925" s="18"/>
      <c r="G925" s="12"/>
      <c r="H925" s="18"/>
      <c r="I925" s="12"/>
      <c r="J925" s="18"/>
      <c r="K925" s="13"/>
    </row>
    <row r="926">
      <c r="F926" s="18"/>
      <c r="G926" s="12"/>
      <c r="H926" s="18"/>
      <c r="I926" s="12"/>
      <c r="J926" s="18"/>
      <c r="K926" s="13"/>
    </row>
    <row r="927">
      <c r="F927" s="18"/>
      <c r="G927" s="12"/>
      <c r="H927" s="18"/>
      <c r="I927" s="12"/>
      <c r="J927" s="18"/>
      <c r="K927" s="13"/>
    </row>
    <row r="928">
      <c r="F928" s="18"/>
      <c r="G928" s="12"/>
      <c r="H928" s="18"/>
      <c r="I928" s="12"/>
      <c r="J928" s="18"/>
      <c r="K928" s="13"/>
    </row>
    <row r="929">
      <c r="F929" s="18"/>
      <c r="G929" s="12"/>
      <c r="H929" s="18"/>
      <c r="I929" s="12"/>
      <c r="J929" s="18"/>
      <c r="K929" s="13"/>
    </row>
    <row r="930">
      <c r="F930" s="18"/>
      <c r="G930" s="12"/>
      <c r="H930" s="18"/>
      <c r="I930" s="12"/>
      <c r="J930" s="18"/>
      <c r="K930" s="13"/>
    </row>
    <row r="931">
      <c r="F931" s="18"/>
      <c r="G931" s="12"/>
      <c r="H931" s="18"/>
      <c r="I931" s="12"/>
      <c r="J931" s="18"/>
      <c r="K931" s="13"/>
    </row>
    <row r="932">
      <c r="F932" s="18"/>
      <c r="G932" s="12"/>
      <c r="H932" s="18"/>
      <c r="I932" s="12"/>
      <c r="J932" s="18"/>
      <c r="K932" s="13"/>
    </row>
    <row r="933">
      <c r="F933" s="18"/>
      <c r="G933" s="12"/>
      <c r="H933" s="18"/>
      <c r="I933" s="12"/>
      <c r="J933" s="18"/>
      <c r="K933" s="13"/>
    </row>
    <row r="934">
      <c r="F934" s="18"/>
      <c r="G934" s="12"/>
      <c r="H934" s="18"/>
      <c r="I934" s="12"/>
      <c r="J934" s="18"/>
      <c r="K934" s="13"/>
    </row>
    <row r="935">
      <c r="F935" s="18"/>
      <c r="G935" s="12"/>
      <c r="H935" s="18"/>
      <c r="I935" s="12"/>
      <c r="J935" s="18"/>
      <c r="K935" s="13"/>
    </row>
    <row r="936">
      <c r="F936" s="18"/>
      <c r="G936" s="12"/>
      <c r="H936" s="18"/>
      <c r="I936" s="12"/>
      <c r="J936" s="18"/>
      <c r="K936" s="13"/>
    </row>
    <row r="937">
      <c r="F937" s="18"/>
      <c r="G937" s="12"/>
      <c r="H937" s="18"/>
      <c r="I937" s="12"/>
      <c r="J937" s="18"/>
      <c r="K937" s="13"/>
    </row>
    <row r="938">
      <c r="F938" s="18"/>
      <c r="G938" s="12"/>
      <c r="H938" s="18"/>
      <c r="I938" s="12"/>
      <c r="J938" s="18"/>
      <c r="K938" s="13"/>
    </row>
    <row r="939">
      <c r="F939" s="18"/>
      <c r="G939" s="12"/>
      <c r="H939" s="18"/>
      <c r="I939" s="12"/>
      <c r="J939" s="18"/>
      <c r="K939" s="13"/>
    </row>
    <row r="940">
      <c r="F940" s="18"/>
      <c r="G940" s="12"/>
      <c r="H940" s="18"/>
      <c r="I940" s="12"/>
      <c r="J940" s="18"/>
      <c r="K940" s="13"/>
    </row>
    <row r="941">
      <c r="F941" s="18"/>
      <c r="G941" s="12"/>
      <c r="H941" s="18"/>
      <c r="I941" s="12"/>
      <c r="J941" s="18"/>
      <c r="K941" s="13"/>
    </row>
    <row r="942">
      <c r="F942" s="18"/>
      <c r="G942" s="12"/>
      <c r="H942" s="18"/>
      <c r="I942" s="12"/>
      <c r="J942" s="18"/>
      <c r="K942" s="13"/>
    </row>
    <row r="943">
      <c r="F943" s="18"/>
      <c r="G943" s="12"/>
      <c r="H943" s="18"/>
      <c r="I943" s="12"/>
      <c r="J943" s="18"/>
      <c r="K943" s="13"/>
    </row>
    <row r="944">
      <c r="F944" s="18"/>
      <c r="G944" s="12"/>
      <c r="H944" s="18"/>
      <c r="I944" s="12"/>
      <c r="J944" s="18"/>
      <c r="K944" s="13"/>
    </row>
    <row r="945">
      <c r="F945" s="18"/>
      <c r="G945" s="12"/>
      <c r="H945" s="18"/>
      <c r="I945" s="12"/>
      <c r="J945" s="18"/>
      <c r="K945" s="13"/>
    </row>
    <row r="946">
      <c r="F946" s="18"/>
      <c r="G946" s="12"/>
      <c r="H946" s="18"/>
      <c r="I946" s="12"/>
      <c r="J946" s="18"/>
      <c r="K946" s="13"/>
    </row>
    <row r="947">
      <c r="F947" s="18"/>
      <c r="G947" s="12"/>
      <c r="H947" s="18"/>
      <c r="I947" s="12"/>
      <c r="J947" s="18"/>
      <c r="K947" s="13"/>
    </row>
    <row r="948">
      <c r="F948" s="18"/>
      <c r="G948" s="12"/>
      <c r="H948" s="18"/>
      <c r="I948" s="12"/>
      <c r="J948" s="18"/>
      <c r="K948" s="13"/>
    </row>
    <row r="949">
      <c r="F949" s="18"/>
      <c r="G949" s="12"/>
      <c r="H949" s="18"/>
      <c r="I949" s="12"/>
      <c r="J949" s="18"/>
      <c r="K949" s="13"/>
    </row>
    <row r="950">
      <c r="F950" s="18"/>
      <c r="G950" s="12"/>
      <c r="H950" s="18"/>
      <c r="I950" s="12"/>
      <c r="J950" s="18"/>
      <c r="K950" s="13"/>
    </row>
    <row r="951">
      <c r="F951" s="18"/>
      <c r="G951" s="12"/>
      <c r="H951" s="18"/>
      <c r="I951" s="12"/>
      <c r="J951" s="18"/>
      <c r="K951" s="13"/>
    </row>
    <row r="952">
      <c r="F952" s="18"/>
      <c r="G952" s="12"/>
      <c r="H952" s="18"/>
      <c r="I952" s="12"/>
      <c r="J952" s="18"/>
      <c r="K952" s="13"/>
    </row>
    <row r="953">
      <c r="F953" s="18"/>
      <c r="G953" s="12"/>
      <c r="H953" s="18"/>
      <c r="I953" s="12"/>
      <c r="J953" s="18"/>
      <c r="K953" s="13"/>
    </row>
    <row r="954">
      <c r="F954" s="18"/>
      <c r="G954" s="12"/>
      <c r="H954" s="18"/>
      <c r="I954" s="12"/>
      <c r="J954" s="18"/>
      <c r="K954" s="13"/>
    </row>
    <row r="955">
      <c r="F955" s="18"/>
      <c r="G955" s="12"/>
      <c r="H955" s="18"/>
      <c r="I955" s="12"/>
      <c r="J955" s="18"/>
      <c r="K955" s="13"/>
    </row>
    <row r="956">
      <c r="F956" s="18"/>
      <c r="G956" s="12"/>
      <c r="H956" s="18"/>
      <c r="I956" s="12"/>
      <c r="J956" s="18"/>
      <c r="K956" s="13"/>
    </row>
    <row r="957">
      <c r="F957" s="18"/>
      <c r="G957" s="12"/>
      <c r="H957" s="18"/>
      <c r="I957" s="12"/>
      <c r="J957" s="18"/>
      <c r="K957" s="13"/>
    </row>
    <row r="958">
      <c r="F958" s="18"/>
      <c r="G958" s="12"/>
      <c r="H958" s="18"/>
      <c r="I958" s="12"/>
      <c r="J958" s="18"/>
      <c r="K958" s="13"/>
    </row>
    <row r="959">
      <c r="F959" s="18"/>
      <c r="G959" s="12"/>
      <c r="H959" s="18"/>
      <c r="I959" s="12"/>
      <c r="J959" s="18"/>
      <c r="K959" s="13"/>
    </row>
    <row r="960">
      <c r="F960" s="18"/>
      <c r="G960" s="12"/>
      <c r="H960" s="18"/>
      <c r="I960" s="12"/>
      <c r="J960" s="18"/>
      <c r="K960" s="13"/>
    </row>
    <row r="961">
      <c r="F961" s="18"/>
      <c r="G961" s="12"/>
      <c r="H961" s="18"/>
      <c r="I961" s="12"/>
      <c r="J961" s="18"/>
      <c r="K961" s="13"/>
    </row>
    <row r="962">
      <c r="F962" s="18"/>
      <c r="G962" s="12"/>
      <c r="H962" s="18"/>
      <c r="I962" s="12"/>
      <c r="J962" s="18"/>
      <c r="K962" s="13"/>
    </row>
    <row r="963">
      <c r="F963" s="18"/>
      <c r="G963" s="12"/>
      <c r="H963" s="18"/>
      <c r="I963" s="12"/>
      <c r="J963" s="18"/>
      <c r="K963" s="13"/>
    </row>
    <row r="964">
      <c r="F964" s="18"/>
      <c r="G964" s="12"/>
      <c r="H964" s="18"/>
      <c r="I964" s="12"/>
      <c r="J964" s="18"/>
      <c r="K964" s="13"/>
    </row>
    <row r="965">
      <c r="F965" s="18"/>
      <c r="G965" s="12"/>
      <c r="H965" s="18"/>
      <c r="I965" s="12"/>
      <c r="J965" s="18"/>
      <c r="K965" s="13"/>
    </row>
    <row r="966">
      <c r="F966" s="18"/>
      <c r="G966" s="12"/>
      <c r="H966" s="18"/>
      <c r="I966" s="12"/>
      <c r="J966" s="18"/>
      <c r="K966" s="13"/>
    </row>
    <row r="967">
      <c r="F967" s="18"/>
      <c r="G967" s="12"/>
      <c r="H967" s="18"/>
      <c r="I967" s="12"/>
      <c r="J967" s="18"/>
      <c r="K967" s="13"/>
    </row>
    <row r="968">
      <c r="F968" s="18"/>
      <c r="G968" s="12"/>
      <c r="H968" s="18"/>
      <c r="I968" s="12"/>
      <c r="J968" s="18"/>
      <c r="K968" s="13"/>
    </row>
    <row r="969">
      <c r="F969" s="18"/>
      <c r="G969" s="12"/>
      <c r="H969" s="18"/>
      <c r="I969" s="12"/>
      <c r="J969" s="18"/>
      <c r="K969" s="13"/>
    </row>
    <row r="970">
      <c r="F970" s="18"/>
      <c r="G970" s="12"/>
      <c r="H970" s="18"/>
      <c r="I970" s="12"/>
      <c r="J970" s="18"/>
      <c r="K970" s="13"/>
    </row>
    <row r="971">
      <c r="F971" s="18"/>
      <c r="G971" s="12"/>
      <c r="H971" s="18"/>
      <c r="I971" s="12"/>
      <c r="J971" s="18"/>
      <c r="K971" s="13"/>
    </row>
    <row r="972">
      <c r="F972" s="18"/>
      <c r="G972" s="12"/>
      <c r="H972" s="18"/>
      <c r="I972" s="12"/>
      <c r="J972" s="18"/>
      <c r="K972" s="13"/>
    </row>
    <row r="973">
      <c r="F973" s="18"/>
      <c r="G973" s="12"/>
      <c r="H973" s="18"/>
      <c r="I973" s="12"/>
      <c r="J973" s="18"/>
      <c r="K973" s="13"/>
    </row>
    <row r="974">
      <c r="F974" s="18"/>
      <c r="G974" s="12"/>
      <c r="H974" s="18"/>
      <c r="I974" s="12"/>
      <c r="J974" s="18"/>
      <c r="K974" s="13"/>
    </row>
    <row r="975">
      <c r="F975" s="18"/>
      <c r="G975" s="12"/>
      <c r="H975" s="18"/>
      <c r="I975" s="12"/>
      <c r="J975" s="18"/>
      <c r="K975" s="13"/>
    </row>
    <row r="976">
      <c r="F976" s="18"/>
      <c r="G976" s="12"/>
      <c r="H976" s="18"/>
      <c r="I976" s="12"/>
      <c r="J976" s="18"/>
      <c r="K976" s="13"/>
    </row>
    <row r="977">
      <c r="F977" s="18"/>
      <c r="G977" s="12"/>
      <c r="H977" s="18"/>
      <c r="I977" s="12"/>
      <c r="J977" s="18"/>
      <c r="K977" s="13"/>
    </row>
    <row r="978">
      <c r="F978" s="18"/>
      <c r="G978" s="12"/>
      <c r="H978" s="18"/>
      <c r="I978" s="12"/>
      <c r="J978" s="18"/>
      <c r="K978" s="13"/>
    </row>
    <row r="979">
      <c r="F979" s="18"/>
      <c r="G979" s="12"/>
      <c r="H979" s="18"/>
      <c r="I979" s="12"/>
      <c r="J979" s="18"/>
      <c r="K979" s="13"/>
    </row>
    <row r="980">
      <c r="F980" s="18"/>
      <c r="G980" s="12"/>
      <c r="H980" s="18"/>
      <c r="I980" s="12"/>
      <c r="J980" s="18"/>
      <c r="K980" s="13"/>
    </row>
    <row r="981">
      <c r="F981" s="18"/>
      <c r="G981" s="12"/>
      <c r="H981" s="18"/>
      <c r="I981" s="12"/>
      <c r="J981" s="18"/>
      <c r="K981" s="13"/>
    </row>
    <row r="982">
      <c r="F982" s="18"/>
      <c r="G982" s="12"/>
      <c r="H982" s="18"/>
      <c r="I982" s="12"/>
      <c r="J982" s="18"/>
      <c r="K982" s="13"/>
    </row>
    <row r="983">
      <c r="F983" s="18"/>
      <c r="G983" s="12"/>
      <c r="H983" s="18"/>
      <c r="I983" s="12"/>
      <c r="J983" s="18"/>
      <c r="K983" s="13"/>
    </row>
    <row r="984">
      <c r="F984" s="18"/>
      <c r="G984" s="12"/>
      <c r="H984" s="18"/>
      <c r="I984" s="12"/>
      <c r="J984" s="18"/>
      <c r="K984" s="13"/>
    </row>
    <row r="985">
      <c r="F985" s="18"/>
      <c r="G985" s="12"/>
      <c r="H985" s="18"/>
      <c r="I985" s="12"/>
      <c r="J985" s="18"/>
      <c r="K985" s="13"/>
    </row>
    <row r="986">
      <c r="F986" s="18"/>
      <c r="G986" s="12"/>
      <c r="H986" s="18"/>
      <c r="I986" s="12"/>
      <c r="J986" s="18"/>
      <c r="K986" s="13"/>
    </row>
    <row r="987">
      <c r="F987" s="18"/>
      <c r="G987" s="12"/>
      <c r="H987" s="18"/>
      <c r="I987" s="12"/>
      <c r="J987" s="18"/>
      <c r="K987" s="13"/>
    </row>
    <row r="988">
      <c r="F988" s="18"/>
      <c r="G988" s="12"/>
      <c r="H988" s="18"/>
      <c r="I988" s="12"/>
      <c r="J988" s="18"/>
      <c r="K988" s="13"/>
    </row>
    <row r="989">
      <c r="F989" s="18"/>
      <c r="G989" s="12"/>
      <c r="H989" s="18"/>
      <c r="I989" s="12"/>
      <c r="J989" s="18"/>
      <c r="K989" s="13"/>
    </row>
    <row r="990">
      <c r="F990" s="18"/>
      <c r="G990" s="12"/>
      <c r="H990" s="18"/>
      <c r="I990" s="12"/>
      <c r="J990" s="18"/>
      <c r="K990" s="13"/>
    </row>
    <row r="991">
      <c r="F991" s="18"/>
      <c r="G991" s="12"/>
      <c r="H991" s="18"/>
      <c r="I991" s="12"/>
      <c r="J991" s="18"/>
      <c r="K991" s="13"/>
    </row>
    <row r="992">
      <c r="F992" s="18"/>
      <c r="G992" s="12"/>
      <c r="H992" s="18"/>
      <c r="I992" s="12"/>
      <c r="J992" s="18"/>
      <c r="K992" s="13"/>
    </row>
    <row r="993">
      <c r="F993" s="18"/>
      <c r="G993" s="12"/>
      <c r="H993" s="18"/>
      <c r="I993" s="12"/>
      <c r="J993" s="18"/>
      <c r="K993" s="13"/>
    </row>
    <row r="994">
      <c r="F994" s="18"/>
      <c r="G994" s="12"/>
      <c r="H994" s="18"/>
      <c r="I994" s="12"/>
      <c r="J994" s="18"/>
      <c r="K994" s="13"/>
    </row>
    <row r="995">
      <c r="F995" s="18"/>
      <c r="G995" s="12"/>
      <c r="H995" s="18"/>
      <c r="I995" s="12"/>
      <c r="J995" s="18"/>
      <c r="K995" s="13"/>
    </row>
    <row r="996">
      <c r="F996" s="18"/>
      <c r="G996" s="12"/>
      <c r="H996" s="18"/>
      <c r="I996" s="12"/>
      <c r="J996" s="18"/>
      <c r="K996" s="13"/>
    </row>
    <row r="997">
      <c r="F997" s="18"/>
      <c r="G997" s="12"/>
      <c r="H997" s="18"/>
      <c r="I997" s="12"/>
      <c r="J997" s="18"/>
      <c r="K997" s="13"/>
    </row>
    <row r="998">
      <c r="F998" s="18"/>
      <c r="G998" s="12"/>
      <c r="H998" s="18"/>
      <c r="I998" s="12"/>
      <c r="J998" s="18"/>
      <c r="K998" s="13"/>
    </row>
    <row r="999">
      <c r="F999" s="18"/>
      <c r="G999" s="12"/>
      <c r="H999" s="18"/>
      <c r="I999" s="12"/>
      <c r="J999" s="18"/>
      <c r="K999" s="13"/>
    </row>
    <row r="1000">
      <c r="F1000" s="18"/>
      <c r="G1000" s="12"/>
      <c r="H1000" s="18"/>
      <c r="I1000" s="12"/>
      <c r="J1000" s="18"/>
      <c r="K1000" s="13"/>
    </row>
    <row r="1001">
      <c r="F1001" s="18"/>
      <c r="G1001" s="12"/>
      <c r="H1001" s="18"/>
      <c r="I1001" s="12"/>
      <c r="J1001" s="18"/>
      <c r="K1001" s="13"/>
    </row>
    <row r="1002">
      <c r="F1002" s="18"/>
      <c r="G1002" s="12"/>
      <c r="H1002" s="18"/>
      <c r="I1002" s="12"/>
      <c r="J1002" s="18"/>
      <c r="K1002" s="13"/>
    </row>
    <row r="1003">
      <c r="F1003" s="18"/>
      <c r="G1003" s="12"/>
      <c r="H1003" s="18"/>
      <c r="I1003" s="12"/>
      <c r="J1003" s="18"/>
      <c r="K1003" s="13"/>
    </row>
    <row r="1004">
      <c r="F1004" s="18"/>
      <c r="G1004" s="12"/>
      <c r="H1004" s="18"/>
      <c r="I1004" s="12"/>
      <c r="J1004" s="18"/>
      <c r="K1004" s="13"/>
    </row>
    <row r="1005">
      <c r="F1005" s="18"/>
      <c r="G1005" s="12"/>
      <c r="H1005" s="18"/>
      <c r="I1005" s="12"/>
      <c r="J1005" s="18"/>
      <c r="K1005" s="13"/>
    </row>
    <row r="1006">
      <c r="F1006" s="18"/>
      <c r="G1006" s="12"/>
      <c r="H1006" s="18"/>
      <c r="I1006" s="12"/>
      <c r="J1006" s="18"/>
      <c r="K1006" s="13"/>
    </row>
    <row r="1007">
      <c r="F1007" s="18"/>
      <c r="G1007" s="12"/>
      <c r="H1007" s="18"/>
      <c r="I1007" s="12"/>
      <c r="J1007" s="18"/>
      <c r="K1007" s="13"/>
    </row>
    <row r="1008">
      <c r="F1008" s="18"/>
      <c r="G1008" s="12"/>
      <c r="H1008" s="18"/>
      <c r="I1008" s="12"/>
      <c r="J1008" s="18"/>
      <c r="K1008" s="13"/>
    </row>
    <row r="1009">
      <c r="F1009" s="18"/>
      <c r="G1009" s="12"/>
      <c r="H1009" s="18"/>
      <c r="I1009" s="12"/>
      <c r="J1009" s="18"/>
      <c r="K1009" s="13"/>
    </row>
    <row r="1010">
      <c r="F1010" s="18"/>
      <c r="G1010" s="12"/>
      <c r="H1010" s="18"/>
      <c r="I1010" s="12"/>
      <c r="J1010" s="18"/>
      <c r="K1010" s="13"/>
    </row>
    <row r="1011">
      <c r="F1011" s="18"/>
      <c r="G1011" s="12"/>
      <c r="H1011" s="18"/>
      <c r="I1011" s="12"/>
      <c r="J1011" s="18"/>
      <c r="K1011" s="13"/>
    </row>
    <row r="1012">
      <c r="F1012" s="18"/>
      <c r="G1012" s="12"/>
      <c r="H1012" s="18"/>
      <c r="I1012" s="12"/>
      <c r="J1012" s="18"/>
      <c r="K1012" s="13"/>
    </row>
    <row r="1013">
      <c r="F1013" s="18"/>
      <c r="G1013" s="12"/>
      <c r="H1013" s="18"/>
      <c r="I1013" s="12"/>
      <c r="J1013" s="18"/>
      <c r="K1013" s="13"/>
    </row>
    <row r="1014">
      <c r="F1014" s="18"/>
      <c r="G1014" s="12"/>
      <c r="H1014" s="18"/>
      <c r="I1014" s="12"/>
      <c r="J1014" s="18"/>
      <c r="K1014" s="13"/>
    </row>
    <row r="1015">
      <c r="F1015" s="18"/>
      <c r="G1015" s="12"/>
      <c r="H1015" s="18"/>
      <c r="I1015" s="12"/>
      <c r="J1015" s="18"/>
      <c r="K1015" s="13"/>
    </row>
    <row r="1016">
      <c r="F1016" s="18"/>
      <c r="G1016" s="12"/>
      <c r="H1016" s="18"/>
      <c r="I1016" s="12"/>
      <c r="J1016" s="18"/>
      <c r="K1016" s="13"/>
    </row>
    <row r="1017">
      <c r="F1017" s="18"/>
      <c r="G1017" s="12"/>
      <c r="H1017" s="18"/>
      <c r="I1017" s="12"/>
      <c r="J1017" s="18"/>
      <c r="K1017" s="13"/>
    </row>
    <row r="1018">
      <c r="F1018" s="18"/>
      <c r="G1018" s="12"/>
      <c r="H1018" s="18"/>
      <c r="I1018" s="12"/>
      <c r="J1018" s="18"/>
      <c r="K1018" s="13"/>
    </row>
    <row r="1019">
      <c r="F1019" s="18"/>
      <c r="G1019" s="12"/>
      <c r="H1019" s="18"/>
      <c r="I1019" s="12"/>
      <c r="J1019" s="18"/>
      <c r="K1019" s="13"/>
    </row>
    <row r="1020">
      <c r="F1020" s="18"/>
      <c r="G1020" s="12"/>
      <c r="H1020" s="18"/>
      <c r="I1020" s="12"/>
      <c r="J1020" s="18"/>
      <c r="K1020" s="13"/>
    </row>
    <row r="1021">
      <c r="F1021" s="18"/>
      <c r="G1021" s="12"/>
      <c r="H1021" s="18"/>
      <c r="I1021" s="12"/>
      <c r="J1021" s="18"/>
      <c r="K1021" s="13"/>
    </row>
    <row r="1022">
      <c r="F1022" s="18"/>
      <c r="G1022" s="12"/>
      <c r="H1022" s="18"/>
      <c r="I1022" s="12"/>
      <c r="J1022" s="18"/>
      <c r="K1022" s="13"/>
    </row>
    <row r="1023">
      <c r="F1023" s="18"/>
      <c r="G1023" s="12"/>
      <c r="H1023" s="18"/>
      <c r="I1023" s="12"/>
      <c r="J1023" s="18"/>
      <c r="K1023" s="13"/>
    </row>
    <row r="1024">
      <c r="F1024" s="18"/>
      <c r="G1024" s="12"/>
      <c r="H1024" s="18"/>
      <c r="I1024" s="12"/>
      <c r="J1024" s="18"/>
      <c r="K1024" s="13"/>
    </row>
    <row r="1025">
      <c r="F1025" s="18"/>
      <c r="G1025" s="12"/>
      <c r="H1025" s="18"/>
      <c r="I1025" s="12"/>
      <c r="J1025" s="18"/>
      <c r="K1025" s="13"/>
    </row>
    <row r="1026">
      <c r="F1026" s="18"/>
      <c r="G1026" s="12"/>
      <c r="H1026" s="18"/>
      <c r="I1026" s="12"/>
      <c r="J1026" s="18"/>
      <c r="K1026" s="13"/>
    </row>
    <row r="1027">
      <c r="F1027" s="18"/>
      <c r="G1027" s="12"/>
      <c r="H1027" s="18"/>
      <c r="I1027" s="12"/>
      <c r="J1027" s="18"/>
      <c r="K1027" s="13"/>
    </row>
    <row r="1028">
      <c r="F1028" s="18"/>
      <c r="G1028" s="12"/>
      <c r="H1028" s="18"/>
      <c r="I1028" s="12"/>
      <c r="J1028" s="18"/>
      <c r="K1028" s="13"/>
    </row>
    <row r="1029">
      <c r="F1029" s="18"/>
      <c r="G1029" s="12"/>
      <c r="H1029" s="18"/>
      <c r="I1029" s="12"/>
      <c r="J1029" s="18"/>
      <c r="K1029" s="13"/>
    </row>
    <row r="1030">
      <c r="F1030" s="18"/>
      <c r="G1030" s="12"/>
      <c r="H1030" s="18"/>
      <c r="I1030" s="12"/>
      <c r="J1030" s="18"/>
      <c r="K1030" s="13"/>
    </row>
    <row r="1031">
      <c r="F1031" s="18"/>
      <c r="G1031" s="12"/>
      <c r="H1031" s="18"/>
      <c r="I1031" s="12"/>
      <c r="J1031" s="18"/>
      <c r="K1031" s="13"/>
    </row>
    <row r="1032">
      <c r="F1032" s="18"/>
      <c r="G1032" s="12"/>
      <c r="H1032" s="18"/>
      <c r="I1032" s="12"/>
      <c r="J1032" s="18"/>
      <c r="K1032" s="13"/>
    </row>
    <row r="1033">
      <c r="F1033" s="18"/>
      <c r="G1033" s="12"/>
      <c r="H1033" s="18"/>
      <c r="I1033" s="12"/>
      <c r="J1033" s="18"/>
      <c r="K1033" s="13"/>
    </row>
    <row r="1034">
      <c r="F1034" s="18"/>
      <c r="G1034" s="12"/>
      <c r="H1034" s="18"/>
      <c r="I1034" s="12"/>
      <c r="J1034" s="18"/>
      <c r="K1034" s="13"/>
    </row>
    <row r="1035">
      <c r="F1035" s="18"/>
      <c r="G1035" s="12"/>
      <c r="H1035" s="18"/>
      <c r="I1035" s="12"/>
      <c r="J1035" s="18"/>
      <c r="K1035" s="13"/>
    </row>
    <row r="1036">
      <c r="F1036" s="18"/>
      <c r="G1036" s="12"/>
      <c r="H1036" s="18"/>
      <c r="I1036" s="12"/>
      <c r="J1036" s="18"/>
      <c r="K1036" s="13"/>
    </row>
    <row r="1037">
      <c r="F1037" s="18"/>
      <c r="G1037" s="12"/>
      <c r="H1037" s="18"/>
      <c r="I1037" s="12"/>
      <c r="J1037" s="18"/>
      <c r="K1037" s="13"/>
    </row>
    <row r="1038">
      <c r="F1038" s="18"/>
      <c r="G1038" s="12"/>
      <c r="H1038" s="18"/>
      <c r="I1038" s="12"/>
      <c r="J1038" s="18"/>
      <c r="K1038" s="13"/>
    </row>
    <row r="1039">
      <c r="F1039" s="18"/>
      <c r="G1039" s="12"/>
      <c r="H1039" s="18"/>
      <c r="I1039" s="12"/>
      <c r="J1039" s="18"/>
      <c r="K1039" s="13"/>
    </row>
    <row r="1040">
      <c r="F1040" s="18"/>
      <c r="G1040" s="12"/>
      <c r="H1040" s="18"/>
      <c r="I1040" s="12"/>
      <c r="J1040" s="18"/>
      <c r="K1040" s="13"/>
    </row>
    <row r="1041">
      <c r="F1041" s="18"/>
      <c r="G1041" s="12"/>
      <c r="H1041" s="18"/>
      <c r="I1041" s="12"/>
      <c r="J1041" s="18"/>
      <c r="K1041" s="13"/>
    </row>
    <row r="1042">
      <c r="F1042" s="18"/>
      <c r="G1042" s="12"/>
      <c r="H1042" s="18"/>
      <c r="I1042" s="12"/>
      <c r="J1042" s="18"/>
      <c r="K1042" s="13"/>
    </row>
    <row r="1043">
      <c r="F1043" s="18"/>
      <c r="G1043" s="12"/>
      <c r="H1043" s="18"/>
      <c r="I1043" s="12"/>
      <c r="J1043" s="18"/>
      <c r="K1043" s="13"/>
    </row>
    <row r="1044">
      <c r="F1044" s="18"/>
      <c r="G1044" s="12"/>
      <c r="H1044" s="18"/>
      <c r="I1044" s="12"/>
      <c r="J1044" s="18"/>
      <c r="K1044" s="13"/>
    </row>
    <row r="1045">
      <c r="F1045" s="18"/>
      <c r="G1045" s="12"/>
      <c r="H1045" s="18"/>
      <c r="I1045" s="12"/>
      <c r="J1045" s="18"/>
      <c r="K1045" s="13"/>
    </row>
    <row r="1046">
      <c r="F1046" s="18"/>
      <c r="G1046" s="12"/>
      <c r="H1046" s="18"/>
      <c r="I1046" s="12"/>
      <c r="J1046" s="18"/>
      <c r="K1046" s="13"/>
    </row>
    <row r="1047">
      <c r="F1047" s="18"/>
      <c r="G1047" s="12"/>
      <c r="H1047" s="18"/>
      <c r="I1047" s="12"/>
      <c r="J1047" s="18"/>
      <c r="K1047" s="13"/>
    </row>
    <row r="1048">
      <c r="F1048" s="18"/>
      <c r="G1048" s="12"/>
      <c r="H1048" s="18"/>
      <c r="I1048" s="12"/>
      <c r="J1048" s="18"/>
      <c r="K1048" s="13"/>
    </row>
    <row r="1049">
      <c r="F1049" s="18"/>
      <c r="G1049" s="12"/>
      <c r="H1049" s="18"/>
      <c r="I1049" s="12"/>
      <c r="J1049" s="18"/>
      <c r="K1049" s="13"/>
    </row>
    <row r="1050">
      <c r="F1050" s="18"/>
      <c r="G1050" s="12"/>
      <c r="H1050" s="18"/>
      <c r="I1050" s="12"/>
      <c r="J1050" s="18"/>
      <c r="K1050" s="13"/>
    </row>
    <row r="1051">
      <c r="F1051" s="18"/>
      <c r="G1051" s="12"/>
      <c r="H1051" s="18"/>
      <c r="I1051" s="12"/>
      <c r="J1051" s="18"/>
      <c r="K1051" s="13"/>
    </row>
    <row r="1052">
      <c r="F1052" s="18"/>
      <c r="G1052" s="12"/>
      <c r="H1052" s="18"/>
      <c r="I1052" s="12"/>
      <c r="J1052" s="18"/>
      <c r="K1052" s="13"/>
    </row>
    <row r="1053">
      <c r="F1053" s="18"/>
      <c r="G1053" s="12"/>
      <c r="H1053" s="18"/>
      <c r="I1053" s="12"/>
      <c r="J1053" s="18"/>
      <c r="K1053" s="13"/>
    </row>
    <row r="1054">
      <c r="F1054" s="18"/>
      <c r="G1054" s="12"/>
      <c r="H1054" s="18"/>
      <c r="I1054" s="12"/>
      <c r="J1054" s="18"/>
      <c r="K1054" s="13"/>
    </row>
    <row r="1055">
      <c r="F1055" s="18"/>
      <c r="G1055" s="12"/>
      <c r="H1055" s="18"/>
      <c r="I1055" s="12"/>
      <c r="J1055" s="18"/>
      <c r="K1055" s="13"/>
    </row>
    <row r="1056">
      <c r="F1056" s="18"/>
      <c r="G1056" s="12"/>
      <c r="H1056" s="18"/>
      <c r="I1056" s="12"/>
      <c r="J1056" s="18"/>
      <c r="K1056" s="13"/>
    </row>
    <row r="1057">
      <c r="F1057" s="18"/>
      <c r="G1057" s="12"/>
      <c r="H1057" s="18"/>
      <c r="I1057" s="12"/>
      <c r="J1057" s="18"/>
      <c r="K1057" s="13"/>
    </row>
    <row r="1058">
      <c r="F1058" s="18"/>
      <c r="G1058" s="12"/>
      <c r="H1058" s="18"/>
      <c r="I1058" s="12"/>
      <c r="J1058" s="18"/>
      <c r="K1058" s="13"/>
    </row>
    <row r="1059">
      <c r="F1059" s="18"/>
      <c r="G1059" s="12"/>
      <c r="H1059" s="18"/>
      <c r="I1059" s="12"/>
      <c r="J1059" s="18"/>
      <c r="K1059" s="13"/>
    </row>
    <row r="1060">
      <c r="F1060" s="18"/>
      <c r="G1060" s="12"/>
      <c r="H1060" s="18"/>
      <c r="I1060" s="12"/>
      <c r="J1060" s="18"/>
      <c r="K1060" s="13"/>
    </row>
    <row r="1061">
      <c r="F1061" s="18"/>
      <c r="G1061" s="12"/>
      <c r="H1061" s="18"/>
      <c r="I1061" s="12"/>
      <c r="J1061" s="18"/>
      <c r="K1061" s="13"/>
    </row>
    <row r="1062">
      <c r="F1062" s="18"/>
      <c r="G1062" s="12"/>
      <c r="H1062" s="18"/>
      <c r="I1062" s="12"/>
      <c r="J1062" s="18"/>
      <c r="K1062" s="13"/>
    </row>
    <row r="1063">
      <c r="F1063" s="18"/>
      <c r="G1063" s="12"/>
      <c r="H1063" s="18"/>
      <c r="I1063" s="12"/>
      <c r="J1063" s="18"/>
      <c r="K1063" s="13"/>
    </row>
    <row r="1064">
      <c r="F1064" s="18"/>
      <c r="G1064" s="12"/>
      <c r="H1064" s="18"/>
      <c r="I1064" s="12"/>
      <c r="J1064" s="18"/>
      <c r="K1064" s="13"/>
    </row>
    <row r="1065">
      <c r="F1065" s="18"/>
      <c r="G1065" s="12"/>
      <c r="H1065" s="18"/>
      <c r="I1065" s="12"/>
      <c r="J1065" s="18"/>
      <c r="K1065" s="13"/>
    </row>
    <row r="1066">
      <c r="F1066" s="18"/>
      <c r="G1066" s="12"/>
      <c r="H1066" s="18"/>
      <c r="I1066" s="12"/>
      <c r="J1066" s="18"/>
      <c r="K1066" s="13"/>
    </row>
    <row r="1067">
      <c r="F1067" s="18"/>
      <c r="G1067" s="12"/>
      <c r="H1067" s="18"/>
      <c r="I1067" s="12"/>
      <c r="J1067" s="18"/>
      <c r="K1067" s="13"/>
    </row>
    <row r="1068">
      <c r="F1068" s="18"/>
      <c r="G1068" s="12"/>
      <c r="H1068" s="18"/>
      <c r="I1068" s="12"/>
      <c r="J1068" s="18"/>
      <c r="K1068" s="13"/>
    </row>
    <row r="1069">
      <c r="F1069" s="18"/>
      <c r="G1069" s="12"/>
      <c r="H1069" s="18"/>
      <c r="I1069" s="12"/>
      <c r="J1069" s="18"/>
      <c r="K1069" s="13"/>
    </row>
    <row r="1070">
      <c r="F1070" s="18"/>
      <c r="G1070" s="12"/>
      <c r="H1070" s="18"/>
      <c r="I1070" s="12"/>
      <c r="J1070" s="18"/>
      <c r="K1070" s="13"/>
    </row>
    <row r="1071">
      <c r="F1071" s="18"/>
      <c r="G1071" s="12"/>
      <c r="H1071" s="18"/>
      <c r="I1071" s="12"/>
      <c r="J1071" s="18"/>
      <c r="K1071" s="13"/>
    </row>
    <row r="1072">
      <c r="F1072" s="18"/>
      <c r="G1072" s="12"/>
      <c r="H1072" s="18"/>
      <c r="I1072" s="12"/>
      <c r="J1072" s="18"/>
      <c r="K1072" s="13"/>
    </row>
    <row r="1073">
      <c r="F1073" s="18"/>
      <c r="G1073" s="12"/>
      <c r="H1073" s="18"/>
      <c r="I1073" s="12"/>
      <c r="J1073" s="18"/>
      <c r="K1073" s="13"/>
    </row>
    <row r="1074">
      <c r="F1074" s="18"/>
      <c r="G1074" s="12"/>
      <c r="H1074" s="18"/>
      <c r="I1074" s="12"/>
      <c r="J1074" s="18"/>
      <c r="K1074" s="13"/>
    </row>
    <row r="1075">
      <c r="F1075" s="18"/>
      <c r="G1075" s="12"/>
      <c r="H1075" s="18"/>
      <c r="I1075" s="12"/>
      <c r="K1075" s="13"/>
    </row>
    <row r="1076">
      <c r="F1076" s="18"/>
      <c r="G1076" s="12"/>
      <c r="H1076" s="18"/>
      <c r="I1076" s="12"/>
      <c r="J1076" s="18"/>
      <c r="K1076" s="13"/>
      <c r="S1076" s="28"/>
    </row>
    <row r="1077">
      <c r="F1077" s="18"/>
      <c r="G1077" s="12"/>
      <c r="H1077" s="18"/>
      <c r="I1077" s="12"/>
      <c r="J1077" s="18"/>
      <c r="K1077" s="13"/>
      <c r="S1077" s="28"/>
    </row>
    <row r="1078">
      <c r="F1078" s="18"/>
      <c r="G1078" s="12"/>
      <c r="H1078" s="18"/>
      <c r="I1078" s="12"/>
      <c r="J1078" s="18"/>
      <c r="K1078" s="13"/>
      <c r="S1078" s="28"/>
    </row>
    <row r="1079">
      <c r="F1079" s="18"/>
      <c r="G1079" s="12"/>
      <c r="H1079" s="18"/>
      <c r="I1079" s="12"/>
      <c r="J1079" s="18"/>
      <c r="K1079" s="13"/>
      <c r="S1079" s="28"/>
    </row>
    <row r="1080">
      <c r="F1080" s="18"/>
      <c r="G1080" s="12"/>
      <c r="H1080" s="18"/>
      <c r="I1080" s="12"/>
      <c r="J1080" s="18"/>
      <c r="K1080" s="13"/>
      <c r="S1080" s="28"/>
    </row>
    <row r="1081">
      <c r="F1081" s="18"/>
      <c r="G1081" s="12"/>
      <c r="H1081" s="18"/>
      <c r="I1081" s="12"/>
      <c r="J1081" s="18"/>
      <c r="K1081" s="13"/>
      <c r="S1081" s="28"/>
    </row>
    <row r="1082">
      <c r="F1082" s="18"/>
      <c r="G1082" s="12"/>
      <c r="H1082" s="18"/>
      <c r="I1082" s="12"/>
      <c r="J1082" s="18"/>
      <c r="K1082" s="13"/>
      <c r="S1082" s="28"/>
    </row>
    <row r="1083">
      <c r="F1083" s="18"/>
      <c r="G1083" s="12"/>
      <c r="H1083" s="18"/>
      <c r="I1083" s="12"/>
      <c r="J1083" s="18"/>
      <c r="K1083" s="13"/>
      <c r="S1083" s="28"/>
    </row>
    <row r="1084">
      <c r="F1084" s="18"/>
      <c r="G1084" s="12"/>
      <c r="H1084" s="18"/>
      <c r="I1084" s="12"/>
      <c r="J1084" s="18"/>
      <c r="K1084" s="13"/>
      <c r="S1084" s="28"/>
    </row>
    <row r="1085">
      <c r="F1085" s="18"/>
      <c r="G1085" s="12"/>
      <c r="H1085" s="18"/>
      <c r="I1085" s="12"/>
      <c r="J1085" s="18"/>
      <c r="K1085" s="13"/>
      <c r="S1085" s="28"/>
    </row>
    <row r="1086">
      <c r="F1086" s="18"/>
      <c r="G1086" s="12"/>
      <c r="H1086" s="18"/>
      <c r="I1086" s="12"/>
      <c r="J1086" s="18"/>
      <c r="K1086" s="13"/>
      <c r="S1086" s="28"/>
    </row>
    <row r="1087">
      <c r="F1087" s="18"/>
      <c r="G1087" s="12"/>
      <c r="H1087" s="18"/>
      <c r="I1087" s="12"/>
      <c r="J1087" s="18"/>
      <c r="K1087" s="13"/>
      <c r="S1087" s="28"/>
    </row>
    <row r="1088">
      <c r="F1088" s="18"/>
      <c r="G1088" s="12"/>
      <c r="H1088" s="18"/>
      <c r="I1088" s="12"/>
      <c r="J1088" s="18"/>
      <c r="K1088" s="13"/>
      <c r="S1088" s="28"/>
    </row>
    <row r="1089">
      <c r="F1089" s="18"/>
      <c r="G1089" s="12"/>
      <c r="H1089" s="18"/>
      <c r="I1089" s="12"/>
      <c r="J1089" s="18"/>
      <c r="K1089" s="13"/>
      <c r="S1089" s="28"/>
    </row>
    <row r="1090">
      <c r="F1090" s="18"/>
      <c r="G1090" s="12"/>
      <c r="H1090" s="18"/>
      <c r="I1090" s="12"/>
      <c r="J1090" s="18"/>
      <c r="K1090" s="13"/>
      <c r="S1090" s="28"/>
    </row>
    <row r="1091">
      <c r="F1091" s="18"/>
      <c r="G1091" s="12"/>
      <c r="H1091" s="18"/>
      <c r="I1091" s="12"/>
      <c r="J1091" s="18"/>
      <c r="K1091" s="13"/>
      <c r="S1091" s="28"/>
    </row>
    <row r="1092">
      <c r="F1092" s="18"/>
      <c r="G1092" s="12"/>
      <c r="H1092" s="18"/>
      <c r="I1092" s="12"/>
      <c r="J1092" s="18"/>
      <c r="K1092" s="13"/>
      <c r="S1092" s="28"/>
    </row>
    <row r="1093">
      <c r="F1093" s="18"/>
      <c r="G1093" s="12"/>
      <c r="H1093" s="18"/>
      <c r="I1093" s="12"/>
      <c r="J1093" s="18"/>
      <c r="K1093" s="13"/>
      <c r="S1093" s="28"/>
    </row>
    <row r="1094">
      <c r="F1094" s="18"/>
      <c r="G1094" s="12"/>
      <c r="H1094" s="18"/>
      <c r="I1094" s="12"/>
      <c r="J1094" s="18"/>
      <c r="K1094" s="13"/>
      <c r="S1094" s="28"/>
    </row>
    <row r="1095">
      <c r="F1095" s="18"/>
      <c r="G1095" s="12"/>
      <c r="H1095" s="18"/>
      <c r="I1095" s="12"/>
      <c r="J1095" s="18"/>
      <c r="K1095" s="13"/>
      <c r="S1095" s="28"/>
    </row>
    <row r="1096">
      <c r="F1096" s="18"/>
      <c r="G1096" s="12"/>
      <c r="H1096" s="18"/>
      <c r="I1096" s="12"/>
      <c r="J1096" s="18"/>
      <c r="K1096" s="13"/>
      <c r="S1096" s="28"/>
    </row>
    <row r="1097">
      <c r="F1097" s="18"/>
      <c r="G1097" s="12"/>
      <c r="H1097" s="18"/>
      <c r="I1097" s="12"/>
      <c r="J1097" s="18"/>
      <c r="K1097" s="13"/>
      <c r="S1097" s="28"/>
    </row>
    <row r="1098">
      <c r="F1098" s="18"/>
      <c r="G1098" s="12"/>
      <c r="H1098" s="18"/>
      <c r="I1098" s="12"/>
      <c r="J1098" s="18"/>
      <c r="K1098" s="13"/>
      <c r="S1098" s="28"/>
    </row>
    <row r="1099">
      <c r="F1099" s="18"/>
      <c r="G1099" s="12"/>
      <c r="H1099" s="18"/>
      <c r="I1099" s="12"/>
      <c r="J1099" s="18"/>
      <c r="K1099" s="13"/>
      <c r="S1099" s="28"/>
    </row>
    <row r="1100">
      <c r="F1100" s="18"/>
      <c r="G1100" s="12"/>
      <c r="H1100" s="18"/>
      <c r="I1100" s="12"/>
      <c r="J1100" s="18"/>
      <c r="K1100" s="13"/>
      <c r="S1100" s="28"/>
    </row>
    <row r="1101">
      <c r="F1101" s="18"/>
      <c r="G1101" s="12"/>
      <c r="H1101" s="18"/>
      <c r="I1101" s="12"/>
      <c r="J1101" s="18"/>
      <c r="K1101" s="13"/>
      <c r="S1101" s="28"/>
    </row>
    <row r="1102">
      <c r="F1102" s="18"/>
      <c r="G1102" s="12"/>
      <c r="H1102" s="18"/>
      <c r="I1102" s="12"/>
      <c r="J1102" s="18"/>
      <c r="K1102" s="13"/>
      <c r="S1102" s="28"/>
    </row>
    <row r="1103">
      <c r="F1103" s="18"/>
      <c r="G1103" s="12"/>
      <c r="H1103" s="18"/>
      <c r="I1103" s="12"/>
      <c r="J1103" s="18"/>
      <c r="K1103" s="13"/>
      <c r="S1103" s="28"/>
    </row>
    <row r="1104">
      <c r="F1104" s="18"/>
      <c r="G1104" s="12"/>
      <c r="H1104" s="18"/>
      <c r="I1104" s="12"/>
      <c r="J1104" s="18"/>
      <c r="K1104" s="13"/>
      <c r="S1104" s="28"/>
    </row>
    <row r="1105">
      <c r="F1105" s="18"/>
      <c r="G1105" s="12"/>
      <c r="H1105" s="18"/>
      <c r="I1105" s="12"/>
      <c r="J1105" s="18"/>
      <c r="K1105" s="13"/>
      <c r="S1105" s="28"/>
    </row>
    <row r="1106">
      <c r="F1106" s="18"/>
      <c r="G1106" s="12"/>
      <c r="H1106" s="18"/>
      <c r="I1106" s="12"/>
      <c r="J1106" s="18"/>
      <c r="K1106" s="13"/>
      <c r="S1106" s="28"/>
    </row>
    <row r="1107">
      <c r="F1107" s="18"/>
      <c r="G1107" s="12"/>
      <c r="H1107" s="18"/>
      <c r="I1107" s="12"/>
      <c r="J1107" s="18"/>
      <c r="K1107" s="13"/>
      <c r="S1107" s="28"/>
    </row>
    <row r="1108">
      <c r="F1108" s="18"/>
      <c r="G1108" s="12"/>
      <c r="H1108" s="18"/>
      <c r="I1108" s="12"/>
      <c r="J1108" s="18"/>
      <c r="K1108" s="13"/>
      <c r="S1108" s="28"/>
    </row>
    <row r="1109">
      <c r="F1109" s="18"/>
      <c r="G1109" s="12"/>
      <c r="H1109" s="18"/>
      <c r="I1109" s="12"/>
      <c r="J1109" s="18"/>
      <c r="K1109" s="13"/>
      <c r="S1109" s="28"/>
    </row>
    <row r="1110">
      <c r="F1110" s="18"/>
      <c r="G1110" s="12"/>
      <c r="H1110" s="18"/>
      <c r="I1110" s="12"/>
      <c r="J1110" s="18"/>
      <c r="K1110" s="13"/>
      <c r="S1110" s="28"/>
    </row>
    <row r="1111">
      <c r="F1111" s="18"/>
      <c r="G1111" s="12"/>
      <c r="H1111" s="18"/>
      <c r="I1111" s="12"/>
      <c r="J1111" s="18"/>
      <c r="K1111" s="13"/>
      <c r="S1111" s="28"/>
    </row>
    <row r="1112">
      <c r="F1112" s="18"/>
      <c r="G1112" s="12"/>
      <c r="H1112" s="18"/>
      <c r="I1112" s="12"/>
      <c r="J1112" s="18"/>
      <c r="K1112" s="13"/>
      <c r="S1112" s="28"/>
    </row>
    <row r="1113">
      <c r="F1113" s="18"/>
      <c r="G1113" s="12"/>
      <c r="H1113" s="18"/>
      <c r="I1113" s="12"/>
      <c r="J1113" s="18"/>
      <c r="K1113" s="13"/>
      <c r="S1113" s="28"/>
    </row>
    <row r="1114">
      <c r="F1114" s="18"/>
      <c r="G1114" s="12"/>
      <c r="H1114" s="18"/>
      <c r="I1114" s="12"/>
      <c r="J1114" s="18"/>
      <c r="K1114" s="13"/>
      <c r="S1114" s="28"/>
    </row>
    <row r="1115">
      <c r="F1115" s="18"/>
      <c r="G1115" s="12"/>
      <c r="H1115" s="18"/>
      <c r="I1115" s="12"/>
      <c r="J1115" s="18"/>
      <c r="K1115" s="13"/>
      <c r="S1115" s="28"/>
    </row>
    <row r="1116">
      <c r="F1116" s="18"/>
      <c r="G1116" s="12"/>
      <c r="H1116" s="18"/>
      <c r="I1116" s="12"/>
      <c r="J1116" s="18"/>
      <c r="K1116" s="13"/>
      <c r="S1116" s="28"/>
    </row>
    <row r="1117">
      <c r="F1117" s="18"/>
      <c r="G1117" s="12"/>
      <c r="H1117" s="18"/>
      <c r="I1117" s="12"/>
      <c r="J1117" s="18"/>
      <c r="K1117" s="13"/>
      <c r="S1117" s="28"/>
    </row>
    <row r="1118">
      <c r="F1118" s="18"/>
      <c r="G1118" s="12"/>
      <c r="H1118" s="18"/>
      <c r="I1118" s="12"/>
      <c r="J1118" s="18"/>
      <c r="K1118" s="13"/>
      <c r="S1118" s="28"/>
    </row>
    <row r="1119">
      <c r="F1119" s="18"/>
      <c r="G1119" s="12"/>
      <c r="H1119" s="18"/>
      <c r="I1119" s="12"/>
      <c r="J1119" s="18"/>
      <c r="K1119" s="13"/>
      <c r="S1119" s="28"/>
    </row>
    <row r="1120">
      <c r="F1120" s="18"/>
      <c r="G1120" s="12"/>
      <c r="H1120" s="18"/>
      <c r="I1120" s="12"/>
      <c r="J1120" s="18"/>
      <c r="K1120" s="13"/>
      <c r="S1120" s="28"/>
    </row>
    <row r="1121">
      <c r="F1121" s="18"/>
      <c r="G1121" s="12"/>
      <c r="H1121" s="18"/>
      <c r="I1121" s="12"/>
      <c r="J1121" s="18"/>
      <c r="K1121" s="13"/>
      <c r="S1121" s="28"/>
    </row>
    <row r="1122">
      <c r="F1122" s="18"/>
      <c r="G1122" s="12"/>
      <c r="H1122" s="18"/>
      <c r="I1122" s="12"/>
      <c r="J1122" s="18"/>
      <c r="K1122" s="13"/>
      <c r="S1122" s="28"/>
    </row>
    <row r="1123">
      <c r="F1123" s="18"/>
      <c r="G1123" s="12"/>
      <c r="H1123" s="18"/>
      <c r="I1123" s="12"/>
      <c r="J1123" s="18"/>
      <c r="K1123" s="13"/>
      <c r="S1123" s="28"/>
    </row>
    <row r="1124">
      <c r="F1124" s="18"/>
      <c r="G1124" s="12"/>
      <c r="H1124" s="18"/>
      <c r="I1124" s="12"/>
      <c r="J1124" s="18"/>
      <c r="K1124" s="13"/>
      <c r="S1124" s="28"/>
    </row>
    <row r="1125">
      <c r="F1125" s="18"/>
      <c r="G1125" s="12"/>
      <c r="H1125" s="18"/>
      <c r="I1125" s="12"/>
      <c r="J1125" s="18"/>
      <c r="K1125" s="13"/>
      <c r="S1125" s="28"/>
    </row>
    <row r="1126">
      <c r="F1126" s="18"/>
      <c r="G1126" s="12"/>
      <c r="H1126" s="18"/>
      <c r="I1126" s="12"/>
      <c r="J1126" s="18"/>
      <c r="K1126" s="13"/>
      <c r="S1126" s="28"/>
    </row>
    <row r="1127">
      <c r="F1127" s="18"/>
      <c r="G1127" s="12"/>
      <c r="H1127" s="18"/>
      <c r="I1127" s="12"/>
      <c r="J1127" s="18"/>
      <c r="K1127" s="13"/>
      <c r="S1127" s="28"/>
    </row>
    <row r="1128">
      <c r="F1128" s="18"/>
      <c r="G1128" s="12"/>
      <c r="H1128" s="18"/>
      <c r="I1128" s="12"/>
      <c r="J1128" s="18"/>
      <c r="K1128" s="13"/>
      <c r="S1128" s="28"/>
    </row>
    <row r="1129">
      <c r="F1129" s="18"/>
      <c r="G1129" s="12"/>
      <c r="H1129" s="18"/>
      <c r="I1129" s="12"/>
      <c r="J1129" s="18"/>
      <c r="K1129" s="13"/>
      <c r="S1129" s="28"/>
    </row>
    <row r="1130">
      <c r="F1130" s="18"/>
      <c r="G1130" s="12"/>
      <c r="H1130" s="18"/>
      <c r="I1130" s="12"/>
      <c r="J1130" s="18"/>
      <c r="K1130" s="13"/>
      <c r="S1130" s="28"/>
    </row>
    <row r="1131">
      <c r="F1131" s="18"/>
      <c r="G1131" s="12"/>
      <c r="H1131" s="18"/>
      <c r="I1131" s="12"/>
      <c r="J1131" s="18"/>
      <c r="K1131" s="13"/>
      <c r="S1131" s="28"/>
    </row>
    <row r="1132">
      <c r="F1132" s="18"/>
      <c r="G1132" s="12"/>
      <c r="H1132" s="18"/>
      <c r="I1132" s="12"/>
      <c r="J1132" s="18"/>
      <c r="K1132" s="13"/>
      <c r="S1132" s="28"/>
    </row>
    <row r="1133">
      <c r="F1133" s="18"/>
      <c r="G1133" s="12"/>
      <c r="H1133" s="18"/>
      <c r="I1133" s="12"/>
      <c r="J1133" s="18"/>
      <c r="K1133" s="13"/>
      <c r="S1133" s="28"/>
    </row>
    <row r="1134">
      <c r="F1134" s="18"/>
      <c r="G1134" s="12"/>
      <c r="H1134" s="18"/>
      <c r="I1134" s="12"/>
      <c r="J1134" s="18"/>
      <c r="K1134" s="13"/>
      <c r="S1134" s="28"/>
    </row>
    <row r="1135">
      <c r="F1135" s="18"/>
      <c r="G1135" s="12"/>
      <c r="H1135" s="18"/>
      <c r="I1135" s="12"/>
      <c r="J1135" s="18"/>
      <c r="K1135" s="13"/>
      <c r="S1135" s="28"/>
    </row>
    <row r="1136">
      <c r="F1136" s="18"/>
      <c r="G1136" s="12"/>
      <c r="H1136" s="18"/>
      <c r="I1136" s="12"/>
      <c r="J1136" s="18"/>
      <c r="K1136" s="13"/>
      <c r="S1136" s="28"/>
    </row>
    <row r="1137">
      <c r="F1137" s="18"/>
      <c r="G1137" s="12"/>
      <c r="H1137" s="18"/>
      <c r="I1137" s="12"/>
      <c r="J1137" s="18"/>
      <c r="K1137" s="13"/>
      <c r="S1137" s="28"/>
    </row>
    <row r="1138">
      <c r="F1138" s="18"/>
      <c r="G1138" s="12"/>
      <c r="H1138" s="18"/>
      <c r="I1138" s="12"/>
      <c r="J1138" s="18"/>
      <c r="K1138" s="13"/>
      <c r="S1138" s="28"/>
    </row>
    <row r="1139">
      <c r="F1139" s="18"/>
      <c r="G1139" s="12"/>
      <c r="H1139" s="18"/>
      <c r="I1139" s="12"/>
      <c r="J1139" s="18"/>
      <c r="K1139" s="13"/>
      <c r="S1139" s="28"/>
    </row>
    <row r="1140">
      <c r="F1140" s="18"/>
      <c r="G1140" s="12"/>
      <c r="H1140" s="18"/>
      <c r="I1140" s="12"/>
      <c r="J1140" s="18"/>
      <c r="K1140" s="13"/>
      <c r="S1140" s="28"/>
    </row>
    <row r="1141">
      <c r="F1141" s="18"/>
      <c r="G1141" s="12"/>
      <c r="H1141" s="18"/>
      <c r="I1141" s="12"/>
      <c r="J1141" s="18"/>
      <c r="K1141" s="13"/>
      <c r="S1141" s="28"/>
    </row>
    <row r="1142">
      <c r="F1142" s="18"/>
      <c r="G1142" s="12"/>
      <c r="H1142" s="18"/>
      <c r="I1142" s="12"/>
      <c r="J1142" s="18"/>
      <c r="K1142" s="13"/>
      <c r="S1142" s="28"/>
    </row>
    <row r="1143">
      <c r="F1143" s="18"/>
      <c r="G1143" s="12"/>
      <c r="H1143" s="18"/>
      <c r="I1143" s="12"/>
      <c r="J1143" s="18"/>
      <c r="K1143" s="13"/>
      <c r="S1143" s="28"/>
    </row>
    <row r="1144">
      <c r="F1144" s="18"/>
      <c r="G1144" s="12"/>
      <c r="H1144" s="18"/>
      <c r="I1144" s="12"/>
      <c r="J1144" s="18"/>
      <c r="K1144" s="13"/>
      <c r="S1144" s="28"/>
    </row>
    <row r="1145">
      <c r="F1145" s="18"/>
      <c r="G1145" s="12"/>
      <c r="H1145" s="18"/>
      <c r="I1145" s="12"/>
      <c r="J1145" s="18"/>
      <c r="K1145" s="13"/>
      <c r="S1145" s="28"/>
    </row>
    <row r="1146">
      <c r="F1146" s="18"/>
      <c r="G1146" s="12"/>
      <c r="H1146" s="18"/>
      <c r="I1146" s="12"/>
      <c r="J1146" s="18"/>
      <c r="K1146" s="13"/>
      <c r="S1146" s="28"/>
    </row>
    <row r="1147">
      <c r="F1147" s="18"/>
      <c r="G1147" s="12"/>
      <c r="H1147" s="18"/>
      <c r="I1147" s="12"/>
      <c r="J1147" s="18"/>
      <c r="K1147" s="13"/>
      <c r="S1147" s="28"/>
    </row>
    <row r="1148">
      <c r="F1148" s="18"/>
      <c r="G1148" s="12"/>
      <c r="H1148" s="18"/>
      <c r="I1148" s="12"/>
      <c r="J1148" s="18"/>
      <c r="K1148" s="13"/>
      <c r="S1148" s="28"/>
    </row>
    <row r="1149">
      <c r="F1149" s="18"/>
      <c r="G1149" s="12"/>
      <c r="H1149" s="18"/>
      <c r="I1149" s="12"/>
      <c r="J1149" s="18"/>
      <c r="K1149" s="13"/>
      <c r="S1149" s="28"/>
    </row>
    <row r="1150">
      <c r="F1150" s="18"/>
      <c r="G1150" s="12"/>
      <c r="H1150" s="18"/>
      <c r="I1150" s="12"/>
      <c r="J1150" s="18"/>
      <c r="K1150" s="13"/>
      <c r="S1150" s="28"/>
    </row>
    <row r="1151">
      <c r="F1151" s="18"/>
      <c r="G1151" s="12"/>
      <c r="H1151" s="18"/>
      <c r="I1151" s="12"/>
      <c r="J1151" s="18"/>
      <c r="K1151" s="13"/>
      <c r="S1151" s="28"/>
    </row>
    <row r="1152">
      <c r="F1152" s="18"/>
      <c r="G1152" s="12"/>
      <c r="H1152" s="18"/>
      <c r="I1152" s="12"/>
      <c r="J1152" s="18"/>
      <c r="K1152" s="13"/>
      <c r="S1152" s="28"/>
    </row>
    <row r="1153">
      <c r="F1153" s="18"/>
      <c r="G1153" s="12"/>
      <c r="H1153" s="18"/>
      <c r="I1153" s="12"/>
      <c r="J1153" s="18"/>
      <c r="K1153" s="13"/>
      <c r="S1153" s="28"/>
    </row>
    <row r="1154">
      <c r="F1154" s="18"/>
      <c r="G1154" s="12"/>
      <c r="H1154" s="18"/>
      <c r="I1154" s="12"/>
      <c r="J1154" s="18"/>
      <c r="K1154" s="13"/>
      <c r="S1154" s="28"/>
    </row>
    <row r="1155">
      <c r="F1155" s="18"/>
      <c r="G1155" s="12"/>
      <c r="H1155" s="18"/>
      <c r="I1155" s="12"/>
      <c r="J1155" s="18"/>
      <c r="K1155" s="13"/>
      <c r="S1155" s="28"/>
    </row>
    <row r="1156">
      <c r="F1156" s="18"/>
      <c r="G1156" s="12"/>
      <c r="H1156" s="18"/>
      <c r="I1156" s="12"/>
      <c r="J1156" s="18"/>
      <c r="K1156" s="13"/>
      <c r="S1156" s="28"/>
    </row>
    <row r="1157">
      <c r="F1157" s="18"/>
      <c r="G1157" s="12"/>
      <c r="H1157" s="18"/>
      <c r="I1157" s="12"/>
      <c r="J1157" s="18"/>
      <c r="K1157" s="13"/>
      <c r="S1157" s="28"/>
    </row>
    <row r="1158">
      <c r="F1158" s="18"/>
      <c r="G1158" s="12"/>
      <c r="H1158" s="18"/>
      <c r="I1158" s="12"/>
      <c r="J1158" s="18"/>
      <c r="K1158" s="13"/>
      <c r="S1158" s="28"/>
    </row>
    <row r="1159">
      <c r="F1159" s="18"/>
      <c r="G1159" s="12"/>
      <c r="H1159" s="18"/>
      <c r="I1159" s="12"/>
      <c r="J1159" s="18"/>
      <c r="K1159" s="13"/>
      <c r="S1159" s="28"/>
    </row>
    <row r="1160">
      <c r="F1160" s="18"/>
      <c r="G1160" s="12"/>
      <c r="H1160" s="18"/>
      <c r="I1160" s="12"/>
      <c r="J1160" s="18"/>
      <c r="K1160" s="13"/>
      <c r="S1160" s="28"/>
    </row>
    <row r="1161">
      <c r="F1161" s="18"/>
      <c r="G1161" s="12"/>
      <c r="H1161" s="18"/>
      <c r="I1161" s="12"/>
      <c r="J1161" s="18"/>
      <c r="K1161" s="13"/>
      <c r="S1161" s="28"/>
    </row>
    <row r="1162">
      <c r="F1162" s="18"/>
      <c r="G1162" s="12"/>
      <c r="H1162" s="18"/>
      <c r="I1162" s="12"/>
      <c r="J1162" s="18"/>
      <c r="K1162" s="13"/>
      <c r="S1162" s="28"/>
    </row>
    <row r="1163">
      <c r="F1163" s="18"/>
      <c r="G1163" s="12"/>
      <c r="H1163" s="18"/>
      <c r="I1163" s="12"/>
      <c r="J1163" s="18"/>
      <c r="K1163" s="13"/>
      <c r="S1163" s="28"/>
    </row>
    <row r="1164">
      <c r="F1164" s="18"/>
      <c r="G1164" s="12"/>
      <c r="H1164" s="18"/>
      <c r="I1164" s="12"/>
      <c r="J1164" s="18"/>
      <c r="K1164" s="13"/>
      <c r="S1164" s="28"/>
    </row>
    <row r="1165">
      <c r="F1165" s="18"/>
      <c r="G1165" s="12"/>
      <c r="H1165" s="18"/>
      <c r="I1165" s="12"/>
      <c r="J1165" s="18"/>
      <c r="K1165" s="13"/>
      <c r="S1165" s="28"/>
    </row>
    <row r="1166">
      <c r="F1166" s="18"/>
      <c r="G1166" s="12"/>
      <c r="H1166" s="18"/>
      <c r="I1166" s="12"/>
      <c r="J1166" s="18"/>
      <c r="K1166" s="13"/>
      <c r="S1166" s="28"/>
    </row>
    <row r="1167">
      <c r="F1167" s="18"/>
      <c r="G1167" s="12"/>
      <c r="H1167" s="18"/>
      <c r="I1167" s="12"/>
      <c r="J1167" s="18"/>
      <c r="K1167" s="13"/>
      <c r="S1167" s="28"/>
    </row>
    <row r="1168">
      <c r="F1168" s="18"/>
      <c r="G1168" s="12"/>
      <c r="H1168" s="18"/>
      <c r="I1168" s="12"/>
      <c r="J1168" s="18"/>
      <c r="K1168" s="13"/>
      <c r="S1168" s="28"/>
    </row>
    <row r="1169">
      <c r="F1169" s="18"/>
      <c r="G1169" s="12"/>
      <c r="H1169" s="18"/>
      <c r="I1169" s="12"/>
      <c r="J1169" s="18"/>
      <c r="K1169" s="13"/>
      <c r="S1169" s="28"/>
    </row>
    <row r="1170">
      <c r="F1170" s="18"/>
      <c r="G1170" s="12"/>
      <c r="H1170" s="18"/>
      <c r="I1170" s="12"/>
      <c r="J1170" s="18"/>
      <c r="K1170" s="13"/>
      <c r="S1170" s="28"/>
    </row>
    <row r="1171">
      <c r="F1171" s="18"/>
      <c r="G1171" s="12"/>
      <c r="H1171" s="18"/>
      <c r="I1171" s="12"/>
      <c r="J1171" s="18"/>
      <c r="K1171" s="13"/>
      <c r="S1171" s="28"/>
    </row>
    <row r="1172">
      <c r="F1172" s="18"/>
      <c r="G1172" s="12"/>
      <c r="H1172" s="18"/>
      <c r="I1172" s="12"/>
      <c r="J1172" s="18"/>
      <c r="K1172" s="13"/>
      <c r="S1172" s="28"/>
    </row>
    <row r="1173">
      <c r="F1173" s="18"/>
      <c r="G1173" s="12"/>
      <c r="H1173" s="18"/>
      <c r="I1173" s="12"/>
      <c r="J1173" s="18"/>
      <c r="K1173" s="13"/>
      <c r="S1173" s="28"/>
    </row>
    <row r="1174">
      <c r="F1174" s="18"/>
      <c r="G1174" s="12"/>
      <c r="H1174" s="18"/>
      <c r="I1174" s="12"/>
      <c r="J1174" s="18"/>
      <c r="K1174" s="13"/>
      <c r="S1174" s="28"/>
    </row>
    <row r="1175">
      <c r="F1175" s="18"/>
      <c r="G1175" s="12"/>
      <c r="H1175" s="18"/>
      <c r="I1175" s="12"/>
      <c r="J1175" s="18"/>
      <c r="K1175" s="13"/>
      <c r="S1175" s="28"/>
    </row>
    <row r="1176">
      <c r="F1176" s="18"/>
      <c r="G1176" s="12"/>
      <c r="H1176" s="18"/>
      <c r="I1176" s="12"/>
      <c r="J1176" s="18"/>
      <c r="K1176" s="13"/>
      <c r="S1176" s="28"/>
    </row>
    <row r="1177">
      <c r="F1177" s="18"/>
      <c r="G1177" s="12"/>
      <c r="H1177" s="18"/>
      <c r="I1177" s="12"/>
      <c r="J1177" s="18"/>
      <c r="K1177" s="13"/>
      <c r="S1177" s="28"/>
    </row>
    <row r="1178">
      <c r="F1178" s="18"/>
      <c r="G1178" s="12"/>
      <c r="H1178" s="18"/>
      <c r="I1178" s="12"/>
      <c r="J1178" s="18"/>
      <c r="K1178" s="13"/>
      <c r="S1178" s="28"/>
    </row>
    <row r="1179">
      <c r="F1179" s="18"/>
      <c r="G1179" s="12"/>
      <c r="H1179" s="18"/>
      <c r="I1179" s="12"/>
      <c r="J1179" s="18"/>
      <c r="K1179" s="13"/>
      <c r="S1179" s="28"/>
    </row>
    <row r="1180">
      <c r="F1180" s="18"/>
      <c r="G1180" s="12"/>
      <c r="H1180" s="18"/>
      <c r="I1180" s="12"/>
      <c r="J1180" s="18"/>
      <c r="K1180" s="13"/>
      <c r="S1180" s="28"/>
    </row>
    <row r="1181">
      <c r="F1181" s="18"/>
      <c r="G1181" s="12"/>
      <c r="H1181" s="18"/>
      <c r="I1181" s="12"/>
      <c r="J1181" s="18"/>
      <c r="K1181" s="13"/>
      <c r="S1181" s="28"/>
    </row>
    <row r="1182">
      <c r="F1182" s="18"/>
      <c r="G1182" s="12"/>
      <c r="H1182" s="18"/>
      <c r="I1182" s="12"/>
      <c r="J1182" s="18"/>
      <c r="K1182" s="13"/>
      <c r="S1182" s="28"/>
    </row>
    <row r="1183">
      <c r="F1183" s="18"/>
      <c r="G1183" s="12"/>
      <c r="H1183" s="18"/>
      <c r="I1183" s="12"/>
      <c r="J1183" s="18"/>
      <c r="K1183" s="13"/>
      <c r="S1183" s="28"/>
    </row>
    <row r="1184">
      <c r="F1184" s="18"/>
      <c r="G1184" s="12"/>
      <c r="H1184" s="18"/>
      <c r="I1184" s="12"/>
      <c r="J1184" s="18"/>
      <c r="K1184" s="13"/>
      <c r="S1184" s="28"/>
    </row>
    <row r="1185">
      <c r="F1185" s="18"/>
      <c r="G1185" s="12"/>
      <c r="H1185" s="18"/>
      <c r="I1185" s="12"/>
      <c r="J1185" s="18"/>
      <c r="K1185" s="13"/>
      <c r="S1185" s="28"/>
    </row>
    <row r="1186">
      <c r="F1186" s="18"/>
      <c r="G1186" s="12"/>
      <c r="H1186" s="18"/>
      <c r="I1186" s="12"/>
      <c r="J1186" s="18"/>
      <c r="K1186" s="13"/>
      <c r="S1186" s="28"/>
    </row>
    <row r="1187">
      <c r="F1187" s="18"/>
      <c r="G1187" s="12"/>
      <c r="H1187" s="18"/>
      <c r="I1187" s="12"/>
      <c r="J1187" s="18"/>
      <c r="K1187" s="13"/>
      <c r="S1187" s="28"/>
    </row>
    <row r="1188">
      <c r="F1188" s="18"/>
      <c r="G1188" s="12"/>
      <c r="H1188" s="18"/>
      <c r="I1188" s="12"/>
      <c r="J1188" s="18"/>
      <c r="K1188" s="13"/>
      <c r="S1188" s="28"/>
    </row>
    <row r="1189">
      <c r="F1189" s="18"/>
      <c r="G1189" s="12"/>
      <c r="H1189" s="18"/>
      <c r="I1189" s="12"/>
      <c r="J1189" s="18"/>
      <c r="K1189" s="13"/>
      <c r="S1189" s="28"/>
    </row>
    <row r="1190">
      <c r="F1190" s="18"/>
      <c r="G1190" s="12"/>
      <c r="H1190" s="18"/>
      <c r="I1190" s="12"/>
      <c r="J1190" s="18"/>
      <c r="K1190" s="13"/>
      <c r="S1190" s="28"/>
    </row>
    <row r="1191">
      <c r="F1191" s="18"/>
      <c r="G1191" s="12"/>
      <c r="H1191" s="18"/>
      <c r="I1191" s="12"/>
      <c r="J1191" s="18"/>
      <c r="K1191" s="13"/>
      <c r="S1191" s="28"/>
    </row>
    <row r="1192">
      <c r="F1192" s="18"/>
      <c r="G1192" s="12"/>
      <c r="H1192" s="18"/>
      <c r="I1192" s="12"/>
      <c r="J1192" s="18"/>
      <c r="K1192" s="13"/>
      <c r="S1192" s="28"/>
    </row>
    <row r="1193">
      <c r="F1193" s="18"/>
      <c r="G1193" s="12"/>
      <c r="H1193" s="18"/>
      <c r="I1193" s="12"/>
      <c r="J1193" s="18"/>
      <c r="K1193" s="13"/>
      <c r="S1193" s="28"/>
    </row>
    <row r="1194">
      <c r="F1194" s="18"/>
      <c r="G1194" s="12"/>
      <c r="H1194" s="18"/>
      <c r="I1194" s="12"/>
      <c r="J1194" s="18"/>
      <c r="K1194" s="13"/>
      <c r="S1194" s="28"/>
    </row>
    <row r="1195">
      <c r="F1195" s="18"/>
      <c r="G1195" s="12"/>
      <c r="H1195" s="18"/>
      <c r="I1195" s="12"/>
      <c r="J1195" s="18"/>
      <c r="K1195" s="13"/>
      <c r="S1195" s="28"/>
    </row>
    <row r="1196">
      <c r="F1196" s="18"/>
      <c r="G1196" s="12"/>
      <c r="H1196" s="18"/>
      <c r="I1196" s="12"/>
      <c r="J1196" s="18"/>
      <c r="K1196" s="13"/>
      <c r="S1196" s="28"/>
    </row>
    <row r="1197">
      <c r="F1197" s="18"/>
      <c r="G1197" s="12"/>
      <c r="H1197" s="18"/>
      <c r="I1197" s="12"/>
      <c r="J1197" s="18"/>
      <c r="K1197" s="13"/>
      <c r="S1197" s="28"/>
    </row>
    <row r="1198">
      <c r="F1198" s="18"/>
      <c r="G1198" s="12"/>
      <c r="H1198" s="18"/>
      <c r="I1198" s="12"/>
      <c r="J1198" s="18"/>
      <c r="K1198" s="13"/>
      <c r="S1198" s="28"/>
    </row>
    <row r="1199">
      <c r="F1199" s="18"/>
      <c r="G1199" s="12"/>
      <c r="H1199" s="18"/>
      <c r="I1199" s="12"/>
      <c r="J1199" s="18"/>
      <c r="K1199" s="13"/>
      <c r="S1199" s="28"/>
    </row>
    <row r="1200">
      <c r="F1200" s="18"/>
      <c r="G1200" s="12"/>
      <c r="H1200" s="18"/>
      <c r="I1200" s="12"/>
      <c r="J1200" s="18"/>
      <c r="K1200" s="13"/>
      <c r="S1200" s="28"/>
    </row>
    <row r="1201">
      <c r="F1201" s="18"/>
      <c r="G1201" s="12"/>
      <c r="H1201" s="18"/>
      <c r="I1201" s="12"/>
      <c r="J1201" s="18"/>
      <c r="K1201" s="13"/>
      <c r="S1201" s="28"/>
    </row>
    <row r="1202">
      <c r="F1202" s="18"/>
      <c r="G1202" s="12"/>
      <c r="H1202" s="18"/>
      <c r="I1202" s="12"/>
      <c r="J1202" s="18"/>
      <c r="K1202" s="13"/>
      <c r="S1202" s="28"/>
    </row>
    <row r="1203">
      <c r="F1203" s="18"/>
      <c r="G1203" s="12"/>
      <c r="H1203" s="18"/>
      <c r="I1203" s="12"/>
      <c r="J1203" s="18"/>
      <c r="K1203" s="13"/>
      <c r="S1203" s="28"/>
    </row>
    <row r="1204">
      <c r="F1204" s="18"/>
      <c r="G1204" s="12"/>
      <c r="H1204" s="18"/>
      <c r="I1204" s="12"/>
      <c r="J1204" s="18"/>
      <c r="K1204" s="13"/>
      <c r="S1204" s="28"/>
    </row>
    <row r="1205">
      <c r="F1205" s="18"/>
      <c r="G1205" s="12"/>
      <c r="H1205" s="18"/>
      <c r="I1205" s="12"/>
      <c r="J1205" s="18"/>
      <c r="K1205" s="13"/>
      <c r="S1205" s="28"/>
    </row>
    <row r="1206">
      <c r="F1206" s="18"/>
      <c r="G1206" s="12"/>
      <c r="H1206" s="18"/>
      <c r="I1206" s="12"/>
      <c r="J1206" s="18"/>
      <c r="K1206" s="13"/>
      <c r="S1206" s="28"/>
    </row>
    <row r="1207">
      <c r="F1207" s="18"/>
      <c r="G1207" s="12"/>
      <c r="H1207" s="18"/>
      <c r="I1207" s="12"/>
      <c r="J1207" s="18"/>
      <c r="K1207" s="13"/>
      <c r="S1207" s="28"/>
    </row>
    <row r="1208">
      <c r="F1208" s="18"/>
      <c r="G1208" s="12"/>
      <c r="H1208" s="18"/>
      <c r="I1208" s="12"/>
      <c r="J1208" s="18"/>
      <c r="K1208" s="13"/>
      <c r="S1208" s="28"/>
    </row>
    <row r="1209">
      <c r="F1209" s="18"/>
      <c r="G1209" s="12"/>
      <c r="H1209" s="18"/>
      <c r="I1209" s="12"/>
      <c r="J1209" s="18"/>
      <c r="K1209" s="13"/>
      <c r="S1209" s="28"/>
    </row>
    <row r="1210">
      <c r="F1210" s="18"/>
      <c r="G1210" s="12"/>
      <c r="H1210" s="18"/>
      <c r="I1210" s="12"/>
      <c r="J1210" s="18"/>
      <c r="K1210" s="13"/>
      <c r="S1210" s="28"/>
    </row>
    <row r="1211">
      <c r="F1211" s="18"/>
      <c r="G1211" s="12"/>
      <c r="H1211" s="18"/>
      <c r="I1211" s="12"/>
      <c r="J1211" s="18"/>
      <c r="K1211" s="13"/>
      <c r="S1211" s="28"/>
    </row>
    <row r="1212">
      <c r="F1212" s="18"/>
      <c r="G1212" s="12"/>
      <c r="H1212" s="18"/>
      <c r="I1212" s="12"/>
      <c r="J1212" s="18"/>
      <c r="K1212" s="13"/>
      <c r="S1212" s="28"/>
    </row>
    <row r="1213">
      <c r="F1213" s="18"/>
      <c r="G1213" s="12"/>
      <c r="H1213" s="18"/>
      <c r="I1213" s="12"/>
      <c r="J1213" s="18"/>
      <c r="K1213" s="13"/>
      <c r="S1213" s="28"/>
    </row>
    <row r="1214">
      <c r="F1214" s="18"/>
      <c r="G1214" s="12"/>
      <c r="H1214" s="18"/>
      <c r="I1214" s="12"/>
      <c r="J1214" s="18"/>
      <c r="K1214" s="13"/>
      <c r="S1214" s="28"/>
    </row>
    <row r="1215">
      <c r="F1215" s="18"/>
      <c r="G1215" s="12"/>
      <c r="H1215" s="18"/>
      <c r="I1215" s="12"/>
      <c r="J1215" s="18"/>
      <c r="K1215" s="13"/>
      <c r="S1215" s="28"/>
    </row>
    <row r="1216">
      <c r="F1216" s="18"/>
      <c r="G1216" s="12"/>
      <c r="H1216" s="18"/>
      <c r="I1216" s="12"/>
      <c r="J1216" s="18"/>
      <c r="K1216" s="13"/>
      <c r="S1216" s="28"/>
    </row>
    <row r="1217">
      <c r="F1217" s="18"/>
      <c r="G1217" s="12"/>
      <c r="H1217" s="18"/>
      <c r="I1217" s="12"/>
      <c r="J1217" s="18"/>
      <c r="K1217" s="13"/>
      <c r="S1217" s="28"/>
    </row>
    <row r="1218">
      <c r="F1218" s="18"/>
      <c r="G1218" s="12"/>
      <c r="H1218" s="18"/>
      <c r="I1218" s="12"/>
      <c r="J1218" s="18"/>
      <c r="K1218" s="13"/>
      <c r="S1218" s="28"/>
    </row>
    <row r="1219">
      <c r="F1219" s="18"/>
      <c r="G1219" s="12"/>
      <c r="H1219" s="18"/>
      <c r="I1219" s="12"/>
      <c r="J1219" s="18"/>
      <c r="K1219" s="13"/>
      <c r="S1219" s="28"/>
    </row>
    <row r="1220">
      <c r="F1220" s="18"/>
      <c r="G1220" s="12"/>
      <c r="H1220" s="18"/>
      <c r="I1220" s="12"/>
      <c r="J1220" s="18"/>
      <c r="K1220" s="13"/>
      <c r="S1220" s="28"/>
    </row>
    <row r="1221">
      <c r="F1221" s="18"/>
      <c r="G1221" s="12"/>
      <c r="H1221" s="18"/>
      <c r="I1221" s="12"/>
      <c r="J1221" s="18"/>
      <c r="K1221" s="13"/>
      <c r="S1221" s="28"/>
    </row>
    <row r="1222">
      <c r="F1222" s="18"/>
      <c r="G1222" s="12"/>
      <c r="H1222" s="18"/>
      <c r="I1222" s="12"/>
      <c r="J1222" s="18"/>
      <c r="K1222" s="13"/>
      <c r="S1222" s="28"/>
    </row>
    <row r="1223">
      <c r="F1223" s="18"/>
      <c r="G1223" s="12"/>
      <c r="H1223" s="18"/>
      <c r="I1223" s="12"/>
      <c r="J1223" s="18"/>
      <c r="K1223" s="13"/>
      <c r="S1223" s="28"/>
    </row>
    <row r="1224">
      <c r="F1224" s="18"/>
      <c r="G1224" s="12"/>
      <c r="H1224" s="18"/>
      <c r="I1224" s="12"/>
      <c r="J1224" s="18"/>
      <c r="K1224" s="13"/>
      <c r="S1224" s="28"/>
    </row>
    <row r="1225">
      <c r="F1225" s="18"/>
      <c r="G1225" s="12"/>
      <c r="H1225" s="18"/>
      <c r="I1225" s="12"/>
      <c r="J1225" s="18"/>
      <c r="K1225" s="13"/>
      <c r="S1225" s="28"/>
    </row>
    <row r="1226">
      <c r="F1226" s="18"/>
      <c r="G1226" s="12"/>
      <c r="H1226" s="18"/>
      <c r="I1226" s="12"/>
      <c r="J1226" s="18"/>
      <c r="K1226" s="13"/>
      <c r="S1226" s="28"/>
    </row>
    <row r="1227">
      <c r="F1227" s="18"/>
      <c r="G1227" s="12"/>
      <c r="H1227" s="18"/>
      <c r="I1227" s="12"/>
      <c r="J1227" s="18"/>
      <c r="K1227" s="13"/>
      <c r="S1227" s="28"/>
    </row>
    <row r="1228">
      <c r="F1228" s="18"/>
      <c r="G1228" s="12"/>
      <c r="H1228" s="18"/>
      <c r="I1228" s="12"/>
      <c r="J1228" s="18"/>
      <c r="K1228" s="13"/>
      <c r="S1228" s="28"/>
    </row>
    <row r="1229">
      <c r="F1229" s="18"/>
      <c r="G1229" s="12"/>
      <c r="H1229" s="18"/>
      <c r="I1229" s="12"/>
      <c r="J1229" s="18"/>
      <c r="K1229" s="13"/>
      <c r="S1229" s="28"/>
    </row>
    <row r="1230">
      <c r="F1230" s="18"/>
      <c r="G1230" s="12"/>
      <c r="H1230" s="18"/>
      <c r="I1230" s="12"/>
      <c r="J1230" s="18"/>
      <c r="K1230" s="13"/>
      <c r="S1230" s="28"/>
    </row>
    <row r="1231">
      <c r="F1231" s="18"/>
      <c r="G1231" s="12"/>
      <c r="H1231" s="18"/>
      <c r="I1231" s="12"/>
      <c r="J1231" s="18"/>
      <c r="K1231" s="13"/>
      <c r="S1231" s="28"/>
    </row>
    <row r="1232">
      <c r="F1232" s="18"/>
      <c r="G1232" s="12"/>
      <c r="H1232" s="18"/>
      <c r="I1232" s="12"/>
      <c r="J1232" s="18"/>
      <c r="K1232" s="13"/>
      <c r="S1232" s="28"/>
    </row>
    <row r="1233">
      <c r="F1233" s="18"/>
      <c r="G1233" s="12"/>
      <c r="H1233" s="18"/>
      <c r="I1233" s="12"/>
      <c r="J1233" s="18"/>
      <c r="K1233" s="13"/>
      <c r="S1233" s="28"/>
    </row>
    <row r="1234">
      <c r="F1234" s="18"/>
      <c r="G1234" s="12"/>
      <c r="H1234" s="18"/>
      <c r="I1234" s="12"/>
      <c r="J1234" s="18"/>
      <c r="K1234" s="13"/>
      <c r="S1234" s="28"/>
    </row>
    <row r="1235">
      <c r="F1235" s="18"/>
      <c r="G1235" s="12"/>
      <c r="H1235" s="18"/>
      <c r="I1235" s="12"/>
      <c r="J1235" s="18"/>
      <c r="K1235" s="13"/>
      <c r="S1235" s="28"/>
    </row>
    <row r="1236">
      <c r="F1236" s="18"/>
      <c r="G1236" s="12"/>
      <c r="H1236" s="18"/>
      <c r="I1236" s="12"/>
      <c r="J1236" s="18"/>
      <c r="K1236" s="13"/>
      <c r="S1236" s="28"/>
    </row>
    <row r="1237">
      <c r="F1237" s="18"/>
      <c r="G1237" s="12"/>
      <c r="H1237" s="18"/>
      <c r="I1237" s="12"/>
      <c r="J1237" s="18"/>
      <c r="K1237" s="13"/>
      <c r="S1237" s="28"/>
    </row>
    <row r="1238">
      <c r="F1238" s="18"/>
      <c r="G1238" s="12"/>
      <c r="H1238" s="18"/>
      <c r="I1238" s="12"/>
      <c r="J1238" s="18"/>
      <c r="K1238" s="13"/>
      <c r="S1238" s="28"/>
    </row>
    <row r="1239">
      <c r="F1239" s="18"/>
      <c r="G1239" s="12"/>
      <c r="H1239" s="18"/>
      <c r="I1239" s="12"/>
      <c r="J1239" s="18"/>
      <c r="K1239" s="13"/>
      <c r="S1239" s="28"/>
    </row>
    <row r="1240">
      <c r="F1240" s="18"/>
      <c r="G1240" s="12"/>
      <c r="H1240" s="18"/>
      <c r="I1240" s="12"/>
      <c r="J1240" s="18"/>
      <c r="K1240" s="13"/>
      <c r="S1240" s="28"/>
    </row>
    <row r="1241">
      <c r="F1241" s="18"/>
      <c r="G1241" s="12"/>
      <c r="H1241" s="18"/>
      <c r="I1241" s="12"/>
      <c r="J1241" s="18"/>
      <c r="K1241" s="13"/>
      <c r="S1241" s="28"/>
    </row>
    <row r="1242">
      <c r="F1242" s="18"/>
      <c r="G1242" s="12"/>
      <c r="H1242" s="18"/>
      <c r="I1242" s="12"/>
      <c r="J1242" s="18"/>
      <c r="K1242" s="13"/>
      <c r="S1242" s="28"/>
    </row>
    <row r="1243">
      <c r="F1243" s="18"/>
      <c r="G1243" s="12"/>
      <c r="H1243" s="18"/>
      <c r="I1243" s="12"/>
      <c r="J1243" s="18"/>
      <c r="K1243" s="13"/>
      <c r="S1243" s="28"/>
    </row>
    <row r="1244">
      <c r="F1244" s="18"/>
      <c r="G1244" s="12"/>
      <c r="H1244" s="18"/>
      <c r="I1244" s="12"/>
      <c r="J1244" s="18"/>
      <c r="K1244" s="13"/>
      <c r="S1244" s="28"/>
    </row>
    <row r="1245">
      <c r="F1245" s="18"/>
      <c r="G1245" s="12"/>
      <c r="H1245" s="18"/>
      <c r="I1245" s="12"/>
      <c r="J1245" s="18"/>
      <c r="K1245" s="13"/>
      <c r="S1245" s="28"/>
    </row>
    <row r="1246">
      <c r="F1246" s="18"/>
      <c r="G1246" s="12"/>
      <c r="H1246" s="18"/>
      <c r="I1246" s="12"/>
      <c r="J1246" s="18"/>
      <c r="K1246" s="13"/>
      <c r="S1246" s="28"/>
    </row>
    <row r="1247">
      <c r="F1247" s="18"/>
      <c r="G1247" s="12"/>
      <c r="H1247" s="18"/>
      <c r="I1247" s="12"/>
      <c r="J1247" s="18"/>
      <c r="K1247" s="13"/>
      <c r="S1247" s="28"/>
    </row>
    <row r="1248">
      <c r="F1248" s="18"/>
      <c r="G1248" s="12"/>
      <c r="H1248" s="18"/>
      <c r="I1248" s="12"/>
      <c r="J1248" s="18"/>
      <c r="K1248" s="13"/>
      <c r="S1248" s="28"/>
    </row>
    <row r="1249">
      <c r="F1249" s="18"/>
      <c r="G1249" s="12"/>
      <c r="H1249" s="18"/>
      <c r="I1249" s="12"/>
      <c r="J1249" s="18"/>
      <c r="K1249" s="13"/>
      <c r="S1249" s="28"/>
    </row>
    <row r="1250">
      <c r="F1250" s="18"/>
      <c r="G1250" s="12"/>
      <c r="H1250" s="18"/>
      <c r="I1250" s="12"/>
      <c r="J1250" s="18"/>
      <c r="K1250" s="13"/>
      <c r="S1250" s="28"/>
    </row>
    <row r="1251">
      <c r="F1251" s="18"/>
      <c r="G1251" s="12"/>
      <c r="H1251" s="18"/>
      <c r="I1251" s="12"/>
      <c r="J1251" s="18"/>
      <c r="K1251" s="13"/>
      <c r="S1251" s="28"/>
    </row>
    <row r="1252">
      <c r="F1252" s="18"/>
      <c r="G1252" s="12"/>
      <c r="H1252" s="18"/>
      <c r="I1252" s="12"/>
      <c r="J1252" s="18"/>
      <c r="K1252" s="13"/>
      <c r="S1252" s="28"/>
    </row>
    <row r="1253">
      <c r="F1253" s="18"/>
      <c r="G1253" s="12"/>
      <c r="H1253" s="18"/>
      <c r="I1253" s="12"/>
      <c r="J1253" s="18"/>
      <c r="K1253" s="13"/>
      <c r="S1253" s="28"/>
    </row>
    <row r="1254">
      <c r="F1254" s="18"/>
      <c r="G1254" s="12"/>
      <c r="H1254" s="18"/>
      <c r="I1254" s="12"/>
      <c r="J1254" s="18"/>
      <c r="K1254" s="13"/>
      <c r="S1254" s="28"/>
    </row>
    <row r="1255">
      <c r="F1255" s="18"/>
      <c r="G1255" s="12"/>
      <c r="H1255" s="18"/>
      <c r="I1255" s="12"/>
      <c r="J1255" s="18"/>
      <c r="K1255" s="13"/>
      <c r="S1255" s="28"/>
    </row>
    <row r="1256">
      <c r="F1256" s="18"/>
      <c r="G1256" s="12"/>
      <c r="H1256" s="18"/>
      <c r="I1256" s="12"/>
      <c r="J1256" s="18"/>
      <c r="K1256" s="13"/>
      <c r="S1256" s="28"/>
    </row>
    <row r="1257">
      <c r="F1257" s="18"/>
      <c r="G1257" s="12"/>
      <c r="H1257" s="18"/>
      <c r="I1257" s="12"/>
      <c r="J1257" s="18"/>
      <c r="K1257" s="13"/>
      <c r="S1257" s="28"/>
    </row>
    <row r="1258">
      <c r="F1258" s="18"/>
      <c r="G1258" s="12"/>
      <c r="H1258" s="18"/>
      <c r="I1258" s="12"/>
      <c r="J1258" s="18"/>
      <c r="K1258" s="13"/>
      <c r="S1258" s="28"/>
    </row>
    <row r="1259">
      <c r="F1259" s="18"/>
      <c r="G1259" s="12"/>
      <c r="H1259" s="18"/>
      <c r="I1259" s="12"/>
      <c r="J1259" s="18"/>
      <c r="K1259" s="13"/>
      <c r="S1259" s="28"/>
    </row>
    <row r="1260">
      <c r="F1260" s="18"/>
      <c r="G1260" s="12"/>
      <c r="H1260" s="18"/>
      <c r="I1260" s="12"/>
      <c r="J1260" s="18"/>
      <c r="K1260" s="13"/>
      <c r="S1260" s="28"/>
    </row>
    <row r="1261">
      <c r="F1261" s="18"/>
      <c r="G1261" s="12"/>
      <c r="H1261" s="18"/>
      <c r="I1261" s="12"/>
      <c r="J1261" s="18"/>
      <c r="K1261" s="13"/>
      <c r="S1261" s="28"/>
    </row>
    <row r="1262">
      <c r="F1262" s="18"/>
      <c r="G1262" s="12"/>
      <c r="H1262" s="18"/>
      <c r="I1262" s="12"/>
      <c r="J1262" s="18"/>
      <c r="K1262" s="13"/>
      <c r="S1262" s="28"/>
    </row>
    <row r="1263">
      <c r="F1263" s="18"/>
      <c r="G1263" s="12"/>
      <c r="H1263" s="18"/>
      <c r="I1263" s="12"/>
      <c r="J1263" s="18"/>
      <c r="K1263" s="13"/>
      <c r="S1263" s="28"/>
    </row>
    <row r="1264">
      <c r="F1264" s="18"/>
      <c r="G1264" s="12"/>
      <c r="H1264" s="18"/>
      <c r="I1264" s="12"/>
      <c r="J1264" s="18"/>
      <c r="K1264" s="13"/>
      <c r="S1264" s="28"/>
    </row>
    <row r="1265">
      <c r="F1265" s="18"/>
      <c r="G1265" s="12"/>
      <c r="H1265" s="18"/>
      <c r="I1265" s="12"/>
      <c r="J1265" s="18"/>
      <c r="K1265" s="13"/>
      <c r="S1265" s="28"/>
    </row>
    <row r="1266">
      <c r="F1266" s="18"/>
      <c r="G1266" s="12"/>
      <c r="H1266" s="18"/>
      <c r="I1266" s="12"/>
      <c r="J1266" s="18"/>
      <c r="K1266" s="13"/>
      <c r="S1266" s="28"/>
    </row>
    <row r="1267">
      <c r="F1267" s="18"/>
      <c r="G1267" s="12"/>
      <c r="H1267" s="18"/>
      <c r="I1267" s="12"/>
      <c r="J1267" s="18"/>
      <c r="K1267" s="13"/>
      <c r="S1267" s="28"/>
    </row>
    <row r="1268">
      <c r="F1268" s="18"/>
      <c r="G1268" s="12"/>
      <c r="H1268" s="18"/>
      <c r="I1268" s="12"/>
      <c r="J1268" s="18"/>
      <c r="K1268" s="13"/>
      <c r="S1268" s="28"/>
    </row>
    <row r="1269">
      <c r="F1269" s="18"/>
      <c r="G1269" s="12"/>
      <c r="H1269" s="18"/>
      <c r="I1269" s="12"/>
      <c r="J1269" s="18"/>
      <c r="K1269" s="13"/>
      <c r="S1269" s="28"/>
    </row>
    <row r="1270">
      <c r="F1270" s="18"/>
      <c r="G1270" s="12"/>
      <c r="H1270" s="18"/>
      <c r="I1270" s="12"/>
      <c r="J1270" s="18"/>
      <c r="K1270" s="13"/>
      <c r="S1270" s="28"/>
    </row>
    <row r="1271">
      <c r="F1271" s="18"/>
      <c r="G1271" s="12"/>
      <c r="H1271" s="18"/>
      <c r="I1271" s="12"/>
      <c r="J1271" s="18"/>
      <c r="K1271" s="13"/>
      <c r="S1271" s="28"/>
    </row>
    <row r="1272">
      <c r="F1272" s="18"/>
      <c r="G1272" s="12"/>
      <c r="H1272" s="18"/>
      <c r="I1272" s="12"/>
      <c r="J1272" s="18"/>
      <c r="K1272" s="13"/>
      <c r="S1272" s="28"/>
    </row>
    <row r="1273">
      <c r="F1273" s="18"/>
      <c r="G1273" s="12"/>
      <c r="H1273" s="18"/>
      <c r="I1273" s="12"/>
      <c r="J1273" s="18"/>
      <c r="K1273" s="13"/>
      <c r="S1273" s="28"/>
    </row>
    <row r="1274">
      <c r="F1274" s="18"/>
      <c r="G1274" s="12"/>
      <c r="H1274" s="18"/>
      <c r="I1274" s="12"/>
      <c r="J1274" s="18"/>
      <c r="K1274" s="13"/>
      <c r="S1274" s="28"/>
    </row>
    <row r="1275">
      <c r="F1275" s="18"/>
      <c r="G1275" s="12"/>
      <c r="H1275" s="18"/>
      <c r="I1275" s="12"/>
      <c r="J1275" s="18"/>
      <c r="K1275" s="13"/>
      <c r="S1275" s="28"/>
    </row>
    <row r="1276">
      <c r="F1276" s="18"/>
      <c r="G1276" s="12"/>
      <c r="H1276" s="18"/>
      <c r="I1276" s="12"/>
      <c r="J1276" s="18"/>
      <c r="K1276" s="13"/>
      <c r="S1276" s="28"/>
    </row>
    <row r="1277">
      <c r="F1277" s="18"/>
      <c r="G1277" s="12"/>
      <c r="H1277" s="18"/>
      <c r="I1277" s="12"/>
      <c r="J1277" s="18"/>
      <c r="K1277" s="13"/>
      <c r="S1277" s="28"/>
    </row>
    <row r="1278">
      <c r="F1278" s="18"/>
      <c r="G1278" s="12"/>
      <c r="H1278" s="18"/>
      <c r="I1278" s="12"/>
      <c r="J1278" s="18"/>
      <c r="K1278" s="13"/>
      <c r="S1278" s="28"/>
    </row>
    <row r="1279">
      <c r="F1279" s="18"/>
      <c r="G1279" s="12"/>
      <c r="H1279" s="18"/>
      <c r="I1279" s="12"/>
      <c r="J1279" s="18"/>
      <c r="K1279" s="13"/>
      <c r="S1279" s="28"/>
    </row>
    <row r="1280">
      <c r="F1280" s="18"/>
      <c r="G1280" s="12"/>
      <c r="H1280" s="18"/>
      <c r="I1280" s="12"/>
      <c r="J1280" s="18"/>
      <c r="K1280" s="13"/>
      <c r="S1280" s="28"/>
    </row>
    <row r="1281">
      <c r="F1281" s="18"/>
      <c r="G1281" s="12"/>
      <c r="H1281" s="18"/>
      <c r="I1281" s="12"/>
      <c r="J1281" s="18"/>
      <c r="K1281" s="13"/>
      <c r="S1281" s="28"/>
    </row>
    <row r="1282">
      <c r="F1282" s="18"/>
      <c r="G1282" s="12"/>
      <c r="H1282" s="18"/>
      <c r="I1282" s="12"/>
      <c r="J1282" s="18"/>
      <c r="K1282" s="13"/>
      <c r="S1282" s="28"/>
    </row>
    <row r="1283">
      <c r="F1283" s="18"/>
      <c r="G1283" s="12"/>
      <c r="H1283" s="18"/>
      <c r="I1283" s="12"/>
      <c r="J1283" s="18"/>
      <c r="K1283" s="13"/>
      <c r="S1283" s="28"/>
    </row>
    <row r="1284">
      <c r="F1284" s="18"/>
      <c r="G1284" s="12"/>
      <c r="H1284" s="18"/>
      <c r="I1284" s="12"/>
      <c r="J1284" s="18"/>
      <c r="K1284" s="13"/>
      <c r="S1284" s="28"/>
    </row>
    <row r="1285">
      <c r="F1285" s="18"/>
      <c r="G1285" s="12"/>
      <c r="H1285" s="18"/>
      <c r="I1285" s="12"/>
      <c r="J1285" s="18"/>
      <c r="K1285" s="13"/>
      <c r="S1285" s="28"/>
    </row>
    <row r="1286">
      <c r="F1286" s="18"/>
      <c r="G1286" s="12"/>
      <c r="H1286" s="18"/>
      <c r="I1286" s="12"/>
      <c r="J1286" s="18"/>
      <c r="K1286" s="13"/>
      <c r="S1286" s="28"/>
    </row>
    <row r="1287">
      <c r="F1287" s="18"/>
      <c r="G1287" s="12"/>
      <c r="H1287" s="18"/>
      <c r="I1287" s="12"/>
      <c r="J1287" s="18"/>
      <c r="K1287" s="13"/>
      <c r="S1287" s="28"/>
    </row>
    <row r="1288">
      <c r="F1288" s="18"/>
      <c r="G1288" s="12"/>
      <c r="H1288" s="18"/>
      <c r="I1288" s="12"/>
      <c r="J1288" s="18"/>
      <c r="K1288" s="13"/>
      <c r="S1288" s="28"/>
    </row>
    <row r="1289">
      <c r="F1289" s="18"/>
      <c r="G1289" s="12"/>
      <c r="H1289" s="18"/>
      <c r="I1289" s="12"/>
      <c r="J1289" s="18"/>
      <c r="K1289" s="13"/>
      <c r="S1289" s="28"/>
    </row>
    <row r="1290">
      <c r="F1290" s="18"/>
      <c r="G1290" s="12"/>
      <c r="H1290" s="18"/>
      <c r="I1290" s="12"/>
      <c r="J1290" s="18"/>
      <c r="K1290" s="13"/>
      <c r="S1290" s="28"/>
    </row>
    <row r="1291">
      <c r="F1291" s="18"/>
      <c r="G1291" s="12"/>
      <c r="H1291" s="18"/>
      <c r="I1291" s="12"/>
      <c r="J1291" s="18"/>
      <c r="K1291" s="13"/>
      <c r="S1291" s="28"/>
    </row>
    <row r="1292">
      <c r="F1292" s="18"/>
      <c r="G1292" s="12"/>
      <c r="H1292" s="18"/>
      <c r="I1292" s="12"/>
      <c r="J1292" s="18"/>
      <c r="K1292" s="13"/>
      <c r="S1292" s="28"/>
    </row>
    <row r="1293">
      <c r="F1293" s="18"/>
      <c r="G1293" s="12"/>
      <c r="H1293" s="18"/>
      <c r="I1293" s="12"/>
      <c r="J1293" s="18"/>
      <c r="K1293" s="13"/>
      <c r="S1293" s="28"/>
    </row>
    <row r="1294">
      <c r="F1294" s="18"/>
      <c r="G1294" s="12"/>
      <c r="H1294" s="18"/>
      <c r="I1294" s="12"/>
      <c r="J1294" s="18"/>
      <c r="K1294" s="13"/>
      <c r="S1294" s="28"/>
    </row>
    <row r="1295">
      <c r="F1295" s="18"/>
      <c r="G1295" s="12"/>
      <c r="H1295" s="18"/>
      <c r="I1295" s="12"/>
      <c r="J1295" s="18"/>
      <c r="K1295" s="13"/>
      <c r="S1295" s="28"/>
    </row>
    <row r="1296">
      <c r="F1296" s="18"/>
      <c r="G1296" s="12"/>
      <c r="H1296" s="18"/>
      <c r="I1296" s="12"/>
      <c r="J1296" s="18"/>
      <c r="K1296" s="13"/>
      <c r="S1296" s="28"/>
    </row>
    <row r="1297">
      <c r="F1297" s="18"/>
      <c r="G1297" s="12"/>
      <c r="H1297" s="18"/>
      <c r="I1297" s="12"/>
      <c r="J1297" s="18"/>
      <c r="K1297" s="13"/>
      <c r="S1297" s="28"/>
    </row>
    <row r="1298">
      <c r="F1298" s="18"/>
      <c r="G1298" s="12"/>
      <c r="H1298" s="18"/>
      <c r="I1298" s="12"/>
      <c r="J1298" s="18"/>
      <c r="K1298" s="13"/>
      <c r="S1298" s="28"/>
    </row>
    <row r="1299">
      <c r="F1299" s="18"/>
      <c r="G1299" s="12"/>
      <c r="H1299" s="18"/>
      <c r="I1299" s="12"/>
      <c r="J1299" s="18"/>
      <c r="K1299" s="13"/>
      <c r="S1299" s="28"/>
    </row>
    <row r="1300">
      <c r="F1300" s="18"/>
      <c r="G1300" s="12"/>
      <c r="H1300" s="18"/>
      <c r="I1300" s="12"/>
      <c r="J1300" s="18"/>
      <c r="K1300" s="13"/>
      <c r="S1300" s="28"/>
    </row>
    <row r="1301">
      <c r="F1301" s="18"/>
      <c r="G1301" s="12"/>
      <c r="H1301" s="18"/>
      <c r="I1301" s="12"/>
      <c r="J1301" s="18"/>
      <c r="K1301" s="13"/>
      <c r="S1301" s="28"/>
    </row>
    <row r="1302">
      <c r="F1302" s="18"/>
      <c r="G1302" s="12"/>
      <c r="H1302" s="18"/>
      <c r="I1302" s="12"/>
      <c r="J1302" s="18"/>
      <c r="K1302" s="13"/>
      <c r="S1302" s="28"/>
    </row>
    <row r="1303">
      <c r="F1303" s="18"/>
      <c r="G1303" s="12"/>
      <c r="H1303" s="18"/>
      <c r="I1303" s="12"/>
      <c r="J1303" s="18"/>
      <c r="K1303" s="13"/>
      <c r="S1303" s="28"/>
    </row>
    <row r="1304">
      <c r="F1304" s="18"/>
      <c r="G1304" s="12"/>
      <c r="H1304" s="18"/>
      <c r="I1304" s="12"/>
      <c r="J1304" s="18"/>
      <c r="K1304" s="13"/>
      <c r="S1304" s="28"/>
    </row>
    <row r="1305">
      <c r="F1305" s="18"/>
      <c r="G1305" s="12"/>
      <c r="H1305" s="18"/>
      <c r="I1305" s="12"/>
      <c r="J1305" s="18"/>
      <c r="K1305" s="13"/>
      <c r="S1305" s="28"/>
    </row>
    <row r="1306">
      <c r="F1306" s="18"/>
      <c r="G1306" s="12"/>
      <c r="H1306" s="18"/>
      <c r="I1306" s="12"/>
      <c r="J1306" s="18"/>
      <c r="K1306" s="13"/>
      <c r="S1306" s="28"/>
    </row>
    <row r="1307">
      <c r="F1307" s="18"/>
      <c r="G1307" s="12"/>
      <c r="H1307" s="18"/>
      <c r="I1307" s="12"/>
      <c r="J1307" s="18"/>
      <c r="K1307" s="13"/>
      <c r="S1307" s="28"/>
    </row>
    <row r="1308">
      <c r="F1308" s="18"/>
      <c r="G1308" s="12"/>
      <c r="H1308" s="18"/>
      <c r="I1308" s="12"/>
      <c r="J1308" s="18"/>
      <c r="K1308" s="13"/>
      <c r="S1308" s="28"/>
    </row>
    <row r="1309">
      <c r="F1309" s="18"/>
      <c r="G1309" s="12"/>
      <c r="H1309" s="18"/>
      <c r="I1309" s="12"/>
      <c r="J1309" s="18"/>
      <c r="K1309" s="13"/>
      <c r="S1309" s="28"/>
    </row>
    <row r="1310">
      <c r="F1310" s="18"/>
      <c r="G1310" s="12"/>
      <c r="H1310" s="18"/>
      <c r="I1310" s="12"/>
      <c r="J1310" s="18"/>
      <c r="K1310" s="13"/>
      <c r="S1310" s="28"/>
    </row>
    <row r="1311">
      <c r="F1311" s="18"/>
      <c r="G1311" s="12"/>
      <c r="H1311" s="18"/>
      <c r="I1311" s="12"/>
      <c r="J1311" s="18"/>
      <c r="K1311" s="13"/>
      <c r="S1311" s="28"/>
    </row>
    <row r="1312">
      <c r="F1312" s="18"/>
      <c r="G1312" s="12"/>
      <c r="H1312" s="18"/>
      <c r="I1312" s="12"/>
      <c r="J1312" s="18"/>
      <c r="K1312" s="13"/>
      <c r="S1312" s="28"/>
    </row>
    <row r="1313">
      <c r="F1313" s="18"/>
      <c r="G1313" s="12"/>
      <c r="H1313" s="18"/>
      <c r="I1313" s="12"/>
      <c r="J1313" s="18"/>
      <c r="K1313" s="13"/>
      <c r="S1313" s="28"/>
    </row>
    <row r="1314">
      <c r="F1314" s="18"/>
      <c r="G1314" s="12"/>
      <c r="H1314" s="18"/>
      <c r="I1314" s="12"/>
      <c r="J1314" s="18"/>
      <c r="K1314" s="13"/>
      <c r="S1314" s="28"/>
    </row>
    <row r="1315">
      <c r="F1315" s="18"/>
      <c r="G1315" s="12"/>
      <c r="H1315" s="18"/>
      <c r="I1315" s="12"/>
      <c r="J1315" s="18"/>
      <c r="K1315" s="13"/>
      <c r="S1315" s="28"/>
    </row>
    <row r="1316">
      <c r="F1316" s="18"/>
      <c r="G1316" s="12"/>
      <c r="H1316" s="18"/>
      <c r="I1316" s="12"/>
      <c r="J1316" s="18"/>
      <c r="K1316" s="13"/>
      <c r="S1316" s="28"/>
    </row>
    <row r="1317">
      <c r="F1317" s="18"/>
      <c r="G1317" s="12"/>
      <c r="H1317" s="18"/>
      <c r="I1317" s="12"/>
      <c r="J1317" s="18"/>
      <c r="K1317" s="13"/>
      <c r="S1317" s="28"/>
    </row>
    <row r="1318">
      <c r="F1318" s="18"/>
      <c r="G1318" s="12"/>
      <c r="H1318" s="18"/>
      <c r="I1318" s="12"/>
      <c r="J1318" s="18"/>
      <c r="K1318" s="13"/>
      <c r="S1318" s="28"/>
    </row>
    <row r="1319">
      <c r="F1319" s="18"/>
      <c r="G1319" s="12"/>
      <c r="H1319" s="18"/>
      <c r="I1319" s="12"/>
      <c r="J1319" s="18"/>
      <c r="K1319" s="13"/>
      <c r="S1319" s="28"/>
    </row>
    <row r="1320">
      <c r="F1320" s="18"/>
      <c r="G1320" s="12"/>
      <c r="H1320" s="18"/>
      <c r="I1320" s="12"/>
      <c r="J1320" s="18"/>
      <c r="K1320" s="13"/>
      <c r="S1320" s="28"/>
    </row>
    <row r="1321">
      <c r="F1321" s="18"/>
      <c r="G1321" s="12"/>
      <c r="H1321" s="18"/>
      <c r="I1321" s="12"/>
      <c r="J1321" s="18"/>
      <c r="K1321" s="13"/>
      <c r="S1321" s="28"/>
    </row>
    <row r="1322">
      <c r="F1322" s="18"/>
      <c r="G1322" s="12"/>
      <c r="H1322" s="18"/>
      <c r="I1322" s="12"/>
      <c r="J1322" s="18"/>
      <c r="K1322" s="13"/>
      <c r="S1322" s="28"/>
    </row>
    <row r="1323">
      <c r="F1323" s="18"/>
      <c r="G1323" s="12"/>
      <c r="H1323" s="18"/>
      <c r="I1323" s="12"/>
      <c r="J1323" s="18"/>
      <c r="K1323" s="13"/>
      <c r="S1323" s="28"/>
    </row>
    <row r="1324">
      <c r="F1324" s="18"/>
      <c r="G1324" s="12"/>
      <c r="H1324" s="18"/>
      <c r="I1324" s="12"/>
      <c r="J1324" s="18"/>
      <c r="K1324" s="13"/>
      <c r="S1324" s="28"/>
    </row>
    <row r="1325">
      <c r="F1325" s="18"/>
      <c r="G1325" s="12"/>
      <c r="H1325" s="18"/>
      <c r="I1325" s="12"/>
      <c r="J1325" s="18"/>
      <c r="K1325" s="13"/>
      <c r="S1325" s="28"/>
    </row>
    <row r="1326">
      <c r="F1326" s="18"/>
      <c r="G1326" s="12"/>
      <c r="H1326" s="18"/>
      <c r="I1326" s="12"/>
      <c r="J1326" s="18"/>
      <c r="K1326" s="13"/>
      <c r="S1326" s="28"/>
    </row>
    <row r="1327">
      <c r="F1327" s="18"/>
      <c r="G1327" s="12"/>
      <c r="H1327" s="18"/>
      <c r="I1327" s="12"/>
      <c r="J1327" s="18"/>
      <c r="K1327" s="13"/>
      <c r="S1327" s="28"/>
    </row>
    <row r="1328">
      <c r="F1328" s="18"/>
      <c r="G1328" s="12"/>
      <c r="H1328" s="18"/>
      <c r="I1328" s="12"/>
      <c r="J1328" s="18"/>
      <c r="K1328" s="13"/>
      <c r="S1328" s="28"/>
    </row>
    <row r="1329">
      <c r="F1329" s="18"/>
      <c r="G1329" s="12"/>
      <c r="H1329" s="18"/>
      <c r="I1329" s="12"/>
      <c r="J1329" s="18"/>
      <c r="K1329" s="13"/>
      <c r="S1329" s="28"/>
    </row>
    <row r="1330">
      <c r="F1330" s="18"/>
      <c r="G1330" s="12"/>
      <c r="H1330" s="18"/>
      <c r="I1330" s="12"/>
      <c r="J1330" s="18"/>
      <c r="K1330" s="13"/>
      <c r="S1330" s="28"/>
    </row>
    <row r="1331">
      <c r="F1331" s="18"/>
      <c r="G1331" s="12"/>
      <c r="H1331" s="18"/>
      <c r="I1331" s="12"/>
      <c r="J1331" s="18"/>
      <c r="K1331" s="13"/>
      <c r="S1331" s="28"/>
    </row>
    <row r="1332">
      <c r="F1332" s="18"/>
      <c r="G1332" s="12"/>
      <c r="H1332" s="18"/>
      <c r="I1332" s="12"/>
      <c r="J1332" s="18"/>
      <c r="K1332" s="13"/>
      <c r="S1332" s="28"/>
    </row>
    <row r="1333">
      <c r="F1333" s="18"/>
      <c r="G1333" s="12"/>
      <c r="H1333" s="18"/>
      <c r="I1333" s="12"/>
      <c r="J1333" s="18"/>
      <c r="K1333" s="13"/>
      <c r="S1333" s="28"/>
    </row>
    <row r="1334">
      <c r="F1334" s="18"/>
      <c r="G1334" s="12"/>
      <c r="H1334" s="18"/>
      <c r="I1334" s="12"/>
      <c r="J1334" s="18"/>
      <c r="K1334" s="13"/>
      <c r="S1334" s="28"/>
    </row>
    <row r="1335">
      <c r="F1335" s="18"/>
      <c r="G1335" s="12"/>
      <c r="H1335" s="18"/>
      <c r="I1335" s="12"/>
      <c r="J1335" s="18"/>
      <c r="K1335" s="13"/>
      <c r="S1335" s="28"/>
    </row>
    <row r="1336">
      <c r="F1336" s="18"/>
      <c r="G1336" s="12"/>
      <c r="H1336" s="18"/>
      <c r="I1336" s="12"/>
      <c r="J1336" s="18"/>
      <c r="K1336" s="13"/>
      <c r="S1336" s="28"/>
    </row>
    <row r="1337">
      <c r="F1337" s="18"/>
      <c r="G1337" s="12"/>
      <c r="H1337" s="18"/>
      <c r="I1337" s="12"/>
      <c r="J1337" s="18"/>
      <c r="K1337" s="13"/>
      <c r="S1337" s="28"/>
    </row>
    <row r="1338">
      <c r="F1338" s="18"/>
      <c r="G1338" s="12"/>
      <c r="H1338" s="18"/>
      <c r="I1338" s="12"/>
      <c r="J1338" s="18"/>
      <c r="K1338" s="13"/>
      <c r="S1338" s="28"/>
    </row>
    <row r="1339">
      <c r="F1339" s="18"/>
      <c r="G1339" s="12"/>
      <c r="H1339" s="18"/>
      <c r="I1339" s="12"/>
      <c r="J1339" s="18"/>
      <c r="K1339" s="13"/>
      <c r="S1339" s="28"/>
    </row>
    <row r="1340">
      <c r="F1340" s="18"/>
      <c r="G1340" s="12"/>
      <c r="H1340" s="18"/>
      <c r="I1340" s="12"/>
      <c r="J1340" s="18"/>
      <c r="K1340" s="13"/>
      <c r="S1340" s="28"/>
    </row>
    <row r="1341">
      <c r="F1341" s="18"/>
      <c r="G1341" s="12"/>
      <c r="H1341" s="18"/>
      <c r="I1341" s="12"/>
      <c r="J1341" s="18"/>
      <c r="K1341" s="13"/>
      <c r="S1341" s="28"/>
    </row>
    <row r="1342">
      <c r="F1342" s="18"/>
      <c r="G1342" s="12"/>
      <c r="H1342" s="18"/>
      <c r="I1342" s="12"/>
      <c r="J1342" s="18"/>
      <c r="K1342" s="13"/>
      <c r="S1342" s="28"/>
    </row>
    <row r="1343">
      <c r="F1343" s="18"/>
      <c r="G1343" s="12"/>
      <c r="H1343" s="18"/>
      <c r="I1343" s="12"/>
      <c r="J1343" s="18"/>
      <c r="K1343" s="13"/>
      <c r="S1343" s="28"/>
    </row>
    <row r="1344">
      <c r="F1344" s="18"/>
      <c r="G1344" s="12"/>
      <c r="H1344" s="18"/>
      <c r="I1344" s="12"/>
      <c r="J1344" s="18"/>
      <c r="K1344" s="13"/>
      <c r="S1344" s="28"/>
    </row>
    <row r="1345">
      <c r="F1345" s="18"/>
      <c r="G1345" s="12"/>
      <c r="H1345" s="18"/>
      <c r="I1345" s="12"/>
      <c r="J1345" s="18"/>
      <c r="K1345" s="13"/>
      <c r="S1345" s="28"/>
    </row>
    <row r="1346">
      <c r="F1346" s="18"/>
      <c r="G1346" s="12"/>
      <c r="H1346" s="18"/>
      <c r="I1346" s="12"/>
      <c r="J1346" s="18"/>
      <c r="K1346" s="13"/>
      <c r="S1346" s="28"/>
    </row>
    <row r="1347">
      <c r="F1347" s="18"/>
      <c r="G1347" s="12"/>
      <c r="H1347" s="18"/>
      <c r="I1347" s="12"/>
      <c r="J1347" s="18"/>
      <c r="K1347" s="13"/>
      <c r="S1347" s="28"/>
    </row>
    <row r="1348">
      <c r="F1348" s="18"/>
      <c r="G1348" s="12"/>
      <c r="H1348" s="18"/>
      <c r="I1348" s="12"/>
      <c r="J1348" s="18"/>
      <c r="K1348" s="13"/>
      <c r="S1348" s="28"/>
    </row>
    <row r="1349">
      <c r="F1349" s="18"/>
      <c r="G1349" s="12"/>
      <c r="H1349" s="18"/>
      <c r="I1349" s="12"/>
      <c r="J1349" s="18"/>
      <c r="K1349" s="13"/>
      <c r="S1349" s="28"/>
    </row>
    <row r="1350">
      <c r="F1350" s="18"/>
      <c r="G1350" s="12"/>
      <c r="H1350" s="18"/>
      <c r="I1350" s="12"/>
      <c r="J1350" s="18"/>
      <c r="K1350" s="13"/>
      <c r="S1350" s="28"/>
    </row>
    <row r="1351">
      <c r="F1351" s="18"/>
      <c r="G1351" s="12"/>
      <c r="H1351" s="18"/>
      <c r="I1351" s="12"/>
      <c r="J1351" s="18"/>
      <c r="K1351" s="13"/>
      <c r="S1351" s="28"/>
    </row>
    <row r="1352">
      <c r="F1352" s="18"/>
      <c r="G1352" s="12"/>
      <c r="H1352" s="18"/>
      <c r="I1352" s="12"/>
      <c r="J1352" s="18"/>
      <c r="K1352" s="13"/>
      <c r="S1352" s="28"/>
    </row>
    <row r="1353">
      <c r="F1353" s="18"/>
      <c r="G1353" s="12"/>
      <c r="H1353" s="18"/>
      <c r="I1353" s="12"/>
      <c r="J1353" s="18"/>
      <c r="K1353" s="13"/>
      <c r="S1353" s="28"/>
    </row>
    <row r="1354">
      <c r="F1354" s="18"/>
      <c r="G1354" s="12"/>
      <c r="H1354" s="18"/>
      <c r="I1354" s="12"/>
      <c r="J1354" s="18"/>
      <c r="K1354" s="13"/>
      <c r="S1354" s="28"/>
    </row>
    <row r="1355">
      <c r="F1355" s="18"/>
      <c r="G1355" s="12"/>
      <c r="H1355" s="18"/>
      <c r="I1355" s="12"/>
      <c r="J1355" s="18"/>
      <c r="K1355" s="13"/>
      <c r="S1355" s="28"/>
    </row>
    <row r="1356">
      <c r="F1356" s="18"/>
      <c r="G1356" s="12"/>
      <c r="H1356" s="18"/>
      <c r="I1356" s="12"/>
      <c r="J1356" s="18"/>
      <c r="K1356" s="13"/>
      <c r="S1356" s="28"/>
    </row>
    <row r="1357">
      <c r="F1357" s="18"/>
      <c r="G1357" s="12"/>
      <c r="H1357" s="18"/>
      <c r="I1357" s="12"/>
      <c r="J1357" s="18"/>
      <c r="K1357" s="13"/>
      <c r="S1357" s="28"/>
    </row>
    <row r="1358">
      <c r="F1358" s="18"/>
      <c r="G1358" s="12"/>
      <c r="H1358" s="18"/>
      <c r="I1358" s="12"/>
      <c r="J1358" s="18"/>
      <c r="K1358" s="13"/>
      <c r="S1358" s="28"/>
    </row>
    <row r="1359">
      <c r="F1359" s="18"/>
      <c r="G1359" s="12"/>
      <c r="H1359" s="18"/>
      <c r="I1359" s="12"/>
      <c r="J1359" s="18"/>
      <c r="K1359" s="13"/>
      <c r="S1359" s="28"/>
    </row>
    <row r="1360">
      <c r="F1360" s="18"/>
      <c r="G1360" s="12"/>
      <c r="H1360" s="18"/>
      <c r="I1360" s="12"/>
      <c r="J1360" s="18"/>
      <c r="K1360" s="13"/>
      <c r="S1360" s="28"/>
    </row>
    <row r="1361">
      <c r="F1361" s="18"/>
      <c r="G1361" s="12"/>
      <c r="H1361" s="18"/>
      <c r="I1361" s="12"/>
      <c r="J1361" s="18"/>
      <c r="K1361" s="13"/>
      <c r="S1361" s="28"/>
    </row>
    <row r="1362">
      <c r="F1362" s="18"/>
      <c r="G1362" s="12"/>
      <c r="H1362" s="18"/>
      <c r="I1362" s="12"/>
      <c r="J1362" s="18"/>
      <c r="K1362" s="13"/>
      <c r="S1362" s="28"/>
    </row>
    <row r="1363">
      <c r="F1363" s="18"/>
      <c r="G1363" s="12"/>
      <c r="H1363" s="18"/>
      <c r="I1363" s="12"/>
      <c r="J1363" s="18"/>
      <c r="K1363" s="13"/>
      <c r="S1363" s="28"/>
    </row>
    <row r="1364">
      <c r="F1364" s="18"/>
      <c r="G1364" s="12"/>
      <c r="H1364" s="18"/>
      <c r="I1364" s="12"/>
      <c r="J1364" s="18"/>
      <c r="K1364" s="13"/>
      <c r="S1364" s="28"/>
    </row>
    <row r="1365">
      <c r="F1365" s="18"/>
      <c r="G1365" s="12"/>
      <c r="H1365" s="18"/>
      <c r="I1365" s="12"/>
      <c r="J1365" s="18"/>
      <c r="K1365" s="13"/>
      <c r="S1365" s="28"/>
    </row>
    <row r="1366">
      <c r="F1366" s="18"/>
      <c r="G1366" s="12"/>
      <c r="H1366" s="18"/>
      <c r="I1366" s="12"/>
      <c r="J1366" s="18"/>
      <c r="K1366" s="13"/>
      <c r="S1366" s="28"/>
    </row>
    <row r="1367">
      <c r="F1367" s="18"/>
      <c r="G1367" s="12"/>
      <c r="H1367" s="18"/>
      <c r="I1367" s="12"/>
      <c r="J1367" s="18"/>
      <c r="K1367" s="13"/>
      <c r="S1367" s="28"/>
    </row>
    <row r="1368">
      <c r="F1368" s="18"/>
      <c r="G1368" s="12"/>
      <c r="H1368" s="18"/>
      <c r="I1368" s="12"/>
      <c r="J1368" s="18"/>
      <c r="K1368" s="13"/>
      <c r="S1368" s="28"/>
    </row>
    <row r="1369">
      <c r="F1369" s="18"/>
      <c r="G1369" s="12"/>
      <c r="H1369" s="18"/>
      <c r="I1369" s="12"/>
      <c r="J1369" s="18"/>
      <c r="K1369" s="13"/>
      <c r="S1369" s="28"/>
    </row>
    <row r="1370">
      <c r="F1370" s="18"/>
      <c r="G1370" s="12"/>
      <c r="H1370" s="18"/>
      <c r="I1370" s="12"/>
      <c r="J1370" s="18"/>
      <c r="K1370" s="13"/>
      <c r="S1370" s="28"/>
    </row>
    <row r="1371">
      <c r="F1371" s="18"/>
      <c r="G1371" s="12"/>
      <c r="H1371" s="18"/>
      <c r="I1371" s="12"/>
      <c r="J1371" s="18"/>
      <c r="K1371" s="13"/>
      <c r="S1371" s="28"/>
    </row>
    <row r="1372">
      <c r="F1372" s="18"/>
      <c r="G1372" s="12"/>
      <c r="H1372" s="18"/>
      <c r="I1372" s="12"/>
      <c r="J1372" s="18"/>
      <c r="K1372" s="13"/>
      <c r="S1372" s="28"/>
    </row>
    <row r="1373">
      <c r="F1373" s="18"/>
      <c r="G1373" s="12"/>
      <c r="H1373" s="18"/>
      <c r="I1373" s="12"/>
      <c r="J1373" s="18"/>
      <c r="K1373" s="13"/>
      <c r="S1373" s="28"/>
    </row>
    <row r="1374">
      <c r="F1374" s="18"/>
      <c r="G1374" s="12"/>
      <c r="H1374" s="18"/>
      <c r="I1374" s="12"/>
      <c r="J1374" s="18"/>
      <c r="K1374" s="13"/>
      <c r="S1374" s="28"/>
    </row>
    <row r="1375">
      <c r="F1375" s="18"/>
      <c r="G1375" s="12"/>
      <c r="H1375" s="18"/>
      <c r="I1375" s="12"/>
      <c r="J1375" s="18"/>
      <c r="K1375" s="13"/>
      <c r="S1375" s="28"/>
    </row>
    <row r="1376">
      <c r="F1376" s="18"/>
      <c r="G1376" s="12"/>
      <c r="H1376" s="18"/>
      <c r="I1376" s="12"/>
      <c r="J1376" s="18"/>
      <c r="K1376" s="13"/>
      <c r="S1376" s="28"/>
    </row>
    <row r="1377">
      <c r="F1377" s="18"/>
      <c r="G1377" s="12"/>
      <c r="H1377" s="18"/>
      <c r="I1377" s="12"/>
      <c r="J1377" s="18"/>
      <c r="K1377" s="13"/>
      <c r="S1377" s="28"/>
    </row>
    <row r="1378">
      <c r="F1378" s="18"/>
      <c r="G1378" s="12"/>
      <c r="H1378" s="18"/>
      <c r="I1378" s="12"/>
      <c r="J1378" s="18"/>
      <c r="K1378" s="13"/>
      <c r="S1378" s="28"/>
    </row>
    <row r="1379">
      <c r="F1379" s="18"/>
      <c r="G1379" s="12"/>
      <c r="H1379" s="18"/>
      <c r="I1379" s="12"/>
      <c r="J1379" s="18"/>
      <c r="K1379" s="13"/>
      <c r="S1379" s="28"/>
    </row>
    <row r="1380">
      <c r="F1380" s="18"/>
      <c r="G1380" s="12"/>
      <c r="H1380" s="18"/>
      <c r="I1380" s="12"/>
      <c r="J1380" s="18"/>
      <c r="K1380" s="13"/>
      <c r="S1380" s="28"/>
    </row>
    <row r="1381">
      <c r="F1381" s="18"/>
      <c r="G1381" s="12"/>
      <c r="H1381" s="18"/>
      <c r="I1381" s="12"/>
      <c r="J1381" s="18"/>
      <c r="K1381" s="13"/>
      <c r="S1381" s="28"/>
    </row>
    <row r="1382">
      <c r="F1382" s="18"/>
      <c r="G1382" s="12"/>
      <c r="H1382" s="18"/>
      <c r="I1382" s="12"/>
      <c r="J1382" s="18"/>
      <c r="K1382" s="13"/>
      <c r="S1382" s="28"/>
    </row>
    <row r="1383">
      <c r="F1383" s="18"/>
      <c r="G1383" s="12"/>
      <c r="H1383" s="18"/>
      <c r="I1383" s="12"/>
      <c r="J1383" s="18"/>
      <c r="K1383" s="13"/>
      <c r="S1383" s="28"/>
    </row>
    <row r="1384">
      <c r="F1384" s="18"/>
      <c r="G1384" s="12"/>
      <c r="H1384" s="18"/>
      <c r="I1384" s="12"/>
      <c r="J1384" s="18"/>
      <c r="K1384" s="13"/>
      <c r="S1384" s="28"/>
    </row>
    <row r="1385">
      <c r="F1385" s="18"/>
      <c r="G1385" s="12"/>
      <c r="H1385" s="18"/>
      <c r="I1385" s="12"/>
      <c r="J1385" s="18"/>
      <c r="K1385" s="13"/>
      <c r="S1385" s="28"/>
    </row>
    <row r="1386">
      <c r="F1386" s="18"/>
      <c r="G1386" s="12"/>
      <c r="H1386" s="18"/>
      <c r="I1386" s="12"/>
      <c r="J1386" s="18"/>
      <c r="K1386" s="13"/>
      <c r="S1386" s="28"/>
    </row>
    <row r="1387">
      <c r="F1387" s="18"/>
      <c r="G1387" s="12"/>
      <c r="H1387" s="18"/>
      <c r="I1387" s="12"/>
      <c r="J1387" s="18"/>
      <c r="K1387" s="13"/>
      <c r="S1387" s="28"/>
    </row>
    <row r="1388">
      <c r="F1388" s="18"/>
      <c r="G1388" s="12"/>
      <c r="H1388" s="18"/>
      <c r="I1388" s="12"/>
      <c r="J1388" s="18"/>
      <c r="K1388" s="13"/>
      <c r="S1388" s="28"/>
    </row>
    <row r="1389">
      <c r="F1389" s="18"/>
      <c r="G1389" s="12"/>
      <c r="H1389" s="18"/>
      <c r="I1389" s="12"/>
      <c r="J1389" s="18"/>
      <c r="K1389" s="13"/>
      <c r="S1389" s="28"/>
    </row>
    <row r="1390">
      <c r="F1390" s="18"/>
      <c r="G1390" s="12"/>
      <c r="H1390" s="18"/>
      <c r="I1390" s="12"/>
      <c r="J1390" s="18"/>
      <c r="K1390" s="13"/>
      <c r="S1390" s="28"/>
    </row>
    <row r="1391">
      <c r="F1391" s="18"/>
      <c r="G1391" s="12"/>
      <c r="H1391" s="18"/>
      <c r="I1391" s="12"/>
      <c r="J1391" s="18"/>
      <c r="K1391" s="13"/>
      <c r="S1391" s="28"/>
    </row>
    <row r="1392">
      <c r="F1392" s="18"/>
      <c r="G1392" s="12"/>
      <c r="H1392" s="18"/>
      <c r="I1392" s="12"/>
      <c r="J1392" s="18"/>
      <c r="K1392" s="13"/>
      <c r="S1392" s="28"/>
    </row>
    <row r="1393">
      <c r="F1393" s="18"/>
      <c r="G1393" s="12"/>
      <c r="H1393" s="18"/>
      <c r="I1393" s="12"/>
      <c r="J1393" s="18"/>
      <c r="K1393" s="13"/>
      <c r="S1393" s="28"/>
    </row>
    <row r="1394">
      <c r="F1394" s="18"/>
      <c r="G1394" s="12"/>
      <c r="H1394" s="18"/>
      <c r="I1394" s="12"/>
      <c r="J1394" s="18"/>
      <c r="K1394" s="13"/>
      <c r="S1394" s="28"/>
    </row>
    <row r="1395">
      <c r="F1395" s="18"/>
      <c r="G1395" s="12"/>
      <c r="H1395" s="18"/>
      <c r="I1395" s="12"/>
      <c r="J1395" s="18"/>
      <c r="K1395" s="13"/>
      <c r="S1395" s="28"/>
    </row>
    <row r="1396">
      <c r="F1396" s="18"/>
      <c r="G1396" s="12"/>
      <c r="H1396" s="18"/>
      <c r="I1396" s="12"/>
      <c r="J1396" s="18"/>
      <c r="K1396" s="13"/>
      <c r="S1396" s="28"/>
    </row>
    <row r="1397">
      <c r="F1397" s="18"/>
      <c r="G1397" s="12"/>
      <c r="H1397" s="18"/>
      <c r="I1397" s="12"/>
      <c r="J1397" s="18"/>
      <c r="K1397" s="13"/>
      <c r="S1397" s="28"/>
    </row>
    <row r="1398">
      <c r="F1398" s="18"/>
      <c r="G1398" s="12"/>
      <c r="H1398" s="18"/>
      <c r="I1398" s="12"/>
      <c r="J1398" s="18"/>
      <c r="K1398" s="13"/>
      <c r="S1398" s="28"/>
    </row>
    <row r="1399">
      <c r="F1399" s="18"/>
      <c r="G1399" s="12"/>
      <c r="H1399" s="18"/>
      <c r="I1399" s="12"/>
      <c r="J1399" s="18"/>
      <c r="K1399" s="13"/>
      <c r="S1399" s="28"/>
    </row>
    <row r="1400">
      <c r="F1400" s="18"/>
      <c r="G1400" s="12"/>
      <c r="H1400" s="18"/>
      <c r="I1400" s="12"/>
      <c r="J1400" s="18"/>
      <c r="K1400" s="13"/>
      <c r="S1400" s="28"/>
    </row>
    <row r="1401">
      <c r="F1401" s="18"/>
      <c r="G1401" s="12"/>
      <c r="H1401" s="18"/>
      <c r="I1401" s="12"/>
      <c r="J1401" s="18"/>
      <c r="K1401" s="13"/>
      <c r="S1401" s="28"/>
    </row>
    <row r="1402">
      <c r="F1402" s="18"/>
      <c r="G1402" s="12"/>
      <c r="H1402" s="18"/>
      <c r="I1402" s="12"/>
      <c r="J1402" s="18"/>
      <c r="K1402" s="13"/>
      <c r="S1402" s="28"/>
    </row>
    <row r="1403">
      <c r="F1403" s="18"/>
      <c r="G1403" s="12"/>
      <c r="H1403" s="18"/>
      <c r="I1403" s="12"/>
      <c r="J1403" s="18"/>
      <c r="K1403" s="13"/>
      <c r="S1403" s="28"/>
    </row>
    <row r="1404">
      <c r="F1404" s="18"/>
      <c r="G1404" s="12"/>
      <c r="H1404" s="18"/>
      <c r="I1404" s="12"/>
      <c r="J1404" s="18"/>
      <c r="K1404" s="13"/>
      <c r="S1404" s="28"/>
    </row>
    <row r="1405">
      <c r="F1405" s="18"/>
      <c r="G1405" s="12"/>
      <c r="H1405" s="18"/>
      <c r="I1405" s="12"/>
      <c r="J1405" s="18"/>
      <c r="K1405" s="13"/>
      <c r="S1405" s="28"/>
    </row>
    <row r="1406">
      <c r="F1406" s="18"/>
      <c r="G1406" s="12"/>
      <c r="H1406" s="18"/>
      <c r="I1406" s="12"/>
      <c r="J1406" s="18"/>
      <c r="K1406" s="13"/>
      <c r="S1406" s="28"/>
    </row>
    <row r="1407">
      <c r="F1407" s="18"/>
      <c r="G1407" s="12"/>
      <c r="H1407" s="18"/>
      <c r="I1407" s="12"/>
      <c r="J1407" s="18"/>
      <c r="K1407" s="13"/>
      <c r="S1407" s="28"/>
    </row>
    <row r="1408">
      <c r="F1408" s="18"/>
      <c r="G1408" s="12"/>
      <c r="H1408" s="18"/>
      <c r="I1408" s="12"/>
      <c r="J1408" s="18"/>
      <c r="K1408" s="13"/>
      <c r="S1408" s="28"/>
    </row>
    <row r="1409">
      <c r="F1409" s="18"/>
      <c r="G1409" s="12"/>
      <c r="H1409" s="18"/>
      <c r="I1409" s="12"/>
      <c r="J1409" s="18"/>
      <c r="K1409" s="13"/>
      <c r="S1409" s="28"/>
    </row>
    <row r="1410">
      <c r="F1410" s="18"/>
      <c r="G1410" s="12"/>
      <c r="H1410" s="18"/>
      <c r="I1410" s="12"/>
      <c r="J1410" s="18"/>
      <c r="K1410" s="13"/>
      <c r="S1410" s="28"/>
    </row>
    <row r="1411">
      <c r="F1411" s="18"/>
      <c r="G1411" s="12"/>
      <c r="H1411" s="18"/>
      <c r="I1411" s="12"/>
      <c r="J1411" s="18"/>
      <c r="K1411" s="13"/>
      <c r="S1411" s="28"/>
    </row>
    <row r="1412">
      <c r="F1412" s="18"/>
      <c r="G1412" s="12"/>
      <c r="H1412" s="18"/>
      <c r="I1412" s="12"/>
      <c r="J1412" s="18"/>
      <c r="K1412" s="13"/>
      <c r="S1412" s="28"/>
    </row>
    <row r="1413">
      <c r="F1413" s="18"/>
      <c r="G1413" s="12"/>
      <c r="H1413" s="18"/>
      <c r="I1413" s="12"/>
      <c r="J1413" s="18"/>
      <c r="K1413" s="13"/>
      <c r="S1413" s="28"/>
    </row>
    <row r="1414">
      <c r="F1414" s="18"/>
      <c r="G1414" s="12"/>
      <c r="H1414" s="18"/>
      <c r="I1414" s="12"/>
      <c r="J1414" s="18"/>
      <c r="K1414" s="13"/>
      <c r="S1414" s="28"/>
    </row>
    <row r="1415">
      <c r="F1415" s="18"/>
      <c r="G1415" s="12"/>
      <c r="H1415" s="18"/>
      <c r="I1415" s="12"/>
      <c r="J1415" s="18"/>
      <c r="K1415" s="13"/>
      <c r="S1415" s="28"/>
    </row>
    <row r="1416">
      <c r="F1416" s="18"/>
      <c r="G1416" s="12"/>
      <c r="H1416" s="18"/>
      <c r="I1416" s="12"/>
      <c r="J1416" s="18"/>
      <c r="K1416" s="13"/>
      <c r="S1416" s="28"/>
    </row>
    <row r="1417">
      <c r="F1417" s="18"/>
      <c r="G1417" s="12"/>
      <c r="H1417" s="18"/>
      <c r="I1417" s="12"/>
      <c r="J1417" s="18"/>
      <c r="K1417" s="13"/>
      <c r="S1417" s="28"/>
    </row>
    <row r="1418">
      <c r="F1418" s="18"/>
      <c r="G1418" s="12"/>
      <c r="H1418" s="18"/>
      <c r="I1418" s="12"/>
      <c r="J1418" s="18"/>
      <c r="K1418" s="13"/>
      <c r="S1418" s="28"/>
    </row>
    <row r="1419">
      <c r="F1419" s="18"/>
      <c r="G1419" s="12"/>
      <c r="H1419" s="18"/>
      <c r="I1419" s="12"/>
      <c r="J1419" s="18"/>
      <c r="K1419" s="13"/>
      <c r="S1419" s="28"/>
    </row>
    <row r="1420">
      <c r="F1420" s="18"/>
      <c r="G1420" s="12"/>
      <c r="H1420" s="18"/>
      <c r="I1420" s="12"/>
      <c r="J1420" s="18"/>
      <c r="K1420" s="13"/>
      <c r="S1420" s="28"/>
    </row>
    <row r="1421">
      <c r="F1421" s="18"/>
      <c r="G1421" s="12"/>
      <c r="H1421" s="18"/>
      <c r="I1421" s="12"/>
      <c r="J1421" s="18"/>
      <c r="K1421" s="13"/>
      <c r="S1421" s="28"/>
    </row>
    <row r="1422">
      <c r="F1422" s="18"/>
      <c r="G1422" s="12"/>
      <c r="H1422" s="18"/>
      <c r="I1422" s="12"/>
      <c r="J1422" s="18"/>
      <c r="K1422" s="13"/>
      <c r="S1422" s="28"/>
    </row>
    <row r="1423">
      <c r="F1423" s="18"/>
      <c r="G1423" s="12"/>
      <c r="H1423" s="18"/>
      <c r="I1423" s="12"/>
      <c r="J1423" s="18"/>
      <c r="K1423" s="13"/>
      <c r="S1423" s="28"/>
    </row>
    <row r="1424">
      <c r="F1424" s="18"/>
      <c r="G1424" s="12"/>
      <c r="H1424" s="18"/>
      <c r="I1424" s="12"/>
      <c r="J1424" s="18"/>
      <c r="K1424" s="13"/>
      <c r="S1424" s="28"/>
    </row>
    <row r="1425">
      <c r="F1425" s="18"/>
      <c r="G1425" s="12"/>
      <c r="H1425" s="18"/>
      <c r="I1425" s="12"/>
      <c r="J1425" s="18"/>
      <c r="K1425" s="13"/>
      <c r="S1425" s="28"/>
    </row>
    <row r="1426">
      <c r="F1426" s="18"/>
      <c r="G1426" s="12"/>
      <c r="H1426" s="18"/>
      <c r="I1426" s="12"/>
      <c r="J1426" s="18"/>
      <c r="K1426" s="13"/>
      <c r="S1426" s="28"/>
    </row>
    <row r="1427">
      <c r="F1427" s="18"/>
      <c r="G1427" s="12"/>
      <c r="H1427" s="18"/>
      <c r="I1427" s="12"/>
      <c r="J1427" s="18"/>
      <c r="K1427" s="13"/>
      <c r="S1427" s="28"/>
    </row>
    <row r="1428">
      <c r="F1428" s="18"/>
      <c r="G1428" s="12"/>
      <c r="H1428" s="18"/>
      <c r="I1428" s="12"/>
      <c r="J1428" s="18"/>
      <c r="K1428" s="13"/>
      <c r="S1428" s="28"/>
    </row>
    <row r="1429">
      <c r="F1429" s="18"/>
      <c r="G1429" s="12"/>
      <c r="H1429" s="18"/>
      <c r="I1429" s="12"/>
      <c r="J1429" s="18"/>
      <c r="K1429" s="13"/>
      <c r="S1429" s="28"/>
    </row>
    <row r="1430">
      <c r="F1430" s="18"/>
      <c r="G1430" s="12"/>
      <c r="H1430" s="18"/>
      <c r="I1430" s="12"/>
      <c r="J1430" s="18"/>
      <c r="K1430" s="13"/>
      <c r="S1430" s="28"/>
    </row>
    <row r="1431">
      <c r="F1431" s="18"/>
      <c r="G1431" s="12"/>
      <c r="H1431" s="18"/>
      <c r="I1431" s="12"/>
      <c r="J1431" s="18"/>
      <c r="K1431" s="13"/>
      <c r="S1431" s="28"/>
    </row>
    <row r="1432">
      <c r="F1432" s="18"/>
      <c r="G1432" s="12"/>
      <c r="H1432" s="18"/>
      <c r="I1432" s="12"/>
      <c r="J1432" s="18"/>
      <c r="K1432" s="13"/>
      <c r="S1432" s="28"/>
    </row>
    <row r="1433">
      <c r="F1433" s="18"/>
      <c r="G1433" s="12"/>
      <c r="H1433" s="18"/>
      <c r="I1433" s="12"/>
      <c r="J1433" s="18"/>
      <c r="K1433" s="13"/>
      <c r="S1433" s="28"/>
    </row>
    <row r="1434">
      <c r="F1434" s="18"/>
      <c r="G1434" s="12"/>
      <c r="H1434" s="18"/>
      <c r="I1434" s="12"/>
      <c r="J1434" s="18"/>
      <c r="K1434" s="13"/>
      <c r="S1434" s="28"/>
    </row>
    <row r="1435">
      <c r="F1435" s="18"/>
      <c r="G1435" s="12"/>
      <c r="H1435" s="18"/>
      <c r="I1435" s="12"/>
      <c r="J1435" s="18"/>
      <c r="K1435" s="13"/>
      <c r="S1435" s="28"/>
    </row>
    <row r="1436">
      <c r="F1436" s="18"/>
      <c r="G1436" s="12"/>
      <c r="H1436" s="18"/>
      <c r="I1436" s="12"/>
      <c r="J1436" s="18"/>
      <c r="K1436" s="13"/>
      <c r="S1436" s="28"/>
    </row>
    <row r="1437">
      <c r="F1437" s="18"/>
      <c r="G1437" s="12"/>
      <c r="H1437" s="18"/>
      <c r="I1437" s="12"/>
      <c r="J1437" s="18"/>
      <c r="K1437" s="13"/>
      <c r="S1437" s="28"/>
    </row>
    <row r="1438">
      <c r="F1438" s="18"/>
      <c r="G1438" s="12"/>
      <c r="H1438" s="18"/>
      <c r="I1438" s="12"/>
      <c r="J1438" s="18"/>
      <c r="K1438" s="13"/>
      <c r="S1438" s="28"/>
    </row>
    <row r="1439">
      <c r="F1439" s="18"/>
      <c r="G1439" s="12"/>
      <c r="H1439" s="18"/>
      <c r="I1439" s="12"/>
      <c r="J1439" s="18"/>
      <c r="K1439" s="13"/>
      <c r="S1439" s="28"/>
    </row>
    <row r="1440">
      <c r="F1440" s="18"/>
      <c r="G1440" s="12"/>
      <c r="H1440" s="18"/>
      <c r="I1440" s="12"/>
      <c r="J1440" s="18"/>
      <c r="K1440" s="13"/>
      <c r="S1440" s="28"/>
    </row>
    <row r="1441">
      <c r="F1441" s="18"/>
      <c r="G1441" s="12"/>
      <c r="H1441" s="18"/>
      <c r="I1441" s="12"/>
      <c r="J1441" s="18"/>
      <c r="K1441" s="13"/>
      <c r="S1441" s="28"/>
    </row>
    <row r="1442">
      <c r="F1442" s="18"/>
      <c r="G1442" s="12"/>
      <c r="H1442" s="18"/>
      <c r="I1442" s="12"/>
      <c r="J1442" s="18"/>
      <c r="K1442" s="13"/>
      <c r="S1442" s="28"/>
    </row>
    <row r="1443">
      <c r="F1443" s="18"/>
      <c r="G1443" s="12"/>
      <c r="H1443" s="18"/>
      <c r="I1443" s="12"/>
      <c r="J1443" s="18"/>
      <c r="K1443" s="13"/>
      <c r="S1443" s="28"/>
    </row>
    <row r="1444">
      <c r="F1444" s="18"/>
      <c r="G1444" s="12"/>
      <c r="H1444" s="18"/>
      <c r="I1444" s="12"/>
      <c r="J1444" s="18"/>
      <c r="K1444" s="13"/>
      <c r="S1444" s="28"/>
    </row>
    <row r="1445">
      <c r="F1445" s="18"/>
      <c r="G1445" s="12"/>
      <c r="H1445" s="18"/>
      <c r="I1445" s="12"/>
      <c r="J1445" s="18"/>
      <c r="K1445" s="13"/>
      <c r="S1445" s="28"/>
    </row>
    <row r="1446">
      <c r="F1446" s="18"/>
      <c r="G1446" s="12"/>
      <c r="H1446" s="18"/>
      <c r="I1446" s="12"/>
      <c r="J1446" s="18"/>
      <c r="K1446" s="13"/>
      <c r="S1446" s="28"/>
    </row>
    <row r="1447">
      <c r="F1447" s="18"/>
      <c r="G1447" s="12"/>
      <c r="H1447" s="18"/>
      <c r="I1447" s="12"/>
      <c r="J1447" s="18"/>
      <c r="K1447" s="13"/>
      <c r="S1447" s="28"/>
    </row>
    <row r="1448">
      <c r="F1448" s="18"/>
      <c r="G1448" s="12"/>
      <c r="H1448" s="18"/>
      <c r="I1448" s="12"/>
      <c r="J1448" s="18"/>
      <c r="K1448" s="13"/>
      <c r="S1448" s="28"/>
    </row>
    <row r="1449">
      <c r="F1449" s="18"/>
      <c r="G1449" s="12"/>
      <c r="H1449" s="18"/>
      <c r="I1449" s="12"/>
      <c r="J1449" s="18"/>
      <c r="K1449" s="13"/>
      <c r="S1449" s="28"/>
    </row>
    <row r="1450">
      <c r="F1450" s="18"/>
      <c r="G1450" s="12"/>
      <c r="H1450" s="18"/>
      <c r="I1450" s="12"/>
      <c r="J1450" s="18"/>
      <c r="K1450" s="13"/>
      <c r="S1450" s="28"/>
    </row>
    <row r="1451">
      <c r="F1451" s="18"/>
      <c r="G1451" s="12"/>
      <c r="H1451" s="18"/>
      <c r="I1451" s="12"/>
      <c r="J1451" s="18"/>
      <c r="K1451" s="13"/>
      <c r="S1451" s="28"/>
    </row>
    <row r="1452">
      <c r="F1452" s="18"/>
      <c r="G1452" s="12"/>
      <c r="H1452" s="18"/>
      <c r="I1452" s="12"/>
      <c r="J1452" s="18"/>
      <c r="K1452" s="13"/>
      <c r="S1452" s="28"/>
    </row>
    <row r="1453">
      <c r="F1453" s="18"/>
      <c r="G1453" s="12"/>
      <c r="H1453" s="18"/>
      <c r="I1453" s="12"/>
      <c r="J1453" s="18"/>
      <c r="K1453" s="13"/>
      <c r="S1453" s="28"/>
    </row>
    <row r="1454">
      <c r="F1454" s="18"/>
      <c r="G1454" s="12"/>
      <c r="H1454" s="18"/>
      <c r="I1454" s="12"/>
      <c r="J1454" s="18"/>
      <c r="K1454" s="13"/>
      <c r="S1454" s="28"/>
    </row>
    <row r="1455">
      <c r="F1455" s="18"/>
      <c r="G1455" s="12"/>
      <c r="H1455" s="18"/>
      <c r="I1455" s="12"/>
      <c r="J1455" s="18"/>
      <c r="K1455" s="13"/>
      <c r="S1455" s="28"/>
    </row>
    <row r="1456">
      <c r="F1456" s="18"/>
      <c r="G1456" s="12"/>
      <c r="H1456" s="18"/>
      <c r="I1456" s="12"/>
      <c r="J1456" s="18"/>
      <c r="K1456" s="13"/>
      <c r="S1456" s="28"/>
    </row>
    <row r="1457">
      <c r="F1457" s="18"/>
      <c r="G1457" s="12"/>
      <c r="H1457" s="18"/>
      <c r="I1457" s="12"/>
      <c r="J1457" s="18"/>
      <c r="K1457" s="13"/>
      <c r="S1457" s="28"/>
    </row>
    <row r="1458">
      <c r="F1458" s="18"/>
      <c r="G1458" s="12"/>
      <c r="H1458" s="18"/>
      <c r="I1458" s="12"/>
      <c r="J1458" s="18"/>
      <c r="K1458" s="13"/>
      <c r="S1458" s="28"/>
    </row>
    <row r="1459">
      <c r="F1459" s="18"/>
      <c r="G1459" s="12"/>
      <c r="H1459" s="18"/>
      <c r="I1459" s="12"/>
      <c r="J1459" s="18"/>
      <c r="K1459" s="13"/>
      <c r="S1459" s="28"/>
    </row>
    <row r="1460">
      <c r="F1460" s="18"/>
      <c r="G1460" s="12"/>
      <c r="H1460" s="18"/>
      <c r="I1460" s="12"/>
      <c r="J1460" s="18"/>
      <c r="K1460" s="13"/>
      <c r="S1460" s="28"/>
    </row>
    <row r="1461">
      <c r="F1461" s="18"/>
      <c r="G1461" s="12"/>
      <c r="H1461" s="18"/>
      <c r="I1461" s="12"/>
      <c r="J1461" s="18"/>
      <c r="K1461" s="13"/>
      <c r="S1461" s="28"/>
    </row>
    <row r="1462">
      <c r="F1462" s="18"/>
      <c r="G1462" s="12"/>
      <c r="H1462" s="18"/>
      <c r="I1462" s="12"/>
      <c r="J1462" s="18"/>
      <c r="K1462" s="13"/>
      <c r="S1462" s="28"/>
    </row>
    <row r="1463">
      <c r="F1463" s="18"/>
      <c r="G1463" s="12"/>
      <c r="H1463" s="18"/>
      <c r="I1463" s="12"/>
      <c r="J1463" s="18"/>
      <c r="K1463" s="13"/>
      <c r="S1463" s="28"/>
    </row>
    <row r="1464">
      <c r="F1464" s="18"/>
      <c r="G1464" s="12"/>
      <c r="H1464" s="18"/>
      <c r="I1464" s="12"/>
      <c r="J1464" s="18"/>
      <c r="K1464" s="13"/>
      <c r="S1464" s="28"/>
    </row>
    <row r="1465">
      <c r="F1465" s="18"/>
      <c r="G1465" s="12"/>
      <c r="H1465" s="18"/>
      <c r="I1465" s="12"/>
      <c r="J1465" s="18"/>
      <c r="K1465" s="13"/>
      <c r="S1465" s="28"/>
    </row>
    <row r="1466">
      <c r="F1466" s="18"/>
      <c r="G1466" s="12"/>
      <c r="H1466" s="18"/>
      <c r="I1466" s="12"/>
      <c r="J1466" s="18"/>
      <c r="K1466" s="13"/>
      <c r="S1466" s="28"/>
    </row>
    <row r="1467">
      <c r="F1467" s="18"/>
      <c r="G1467" s="12"/>
      <c r="H1467" s="18"/>
      <c r="I1467" s="12"/>
      <c r="J1467" s="18"/>
      <c r="K1467" s="13"/>
      <c r="S1467" s="28"/>
    </row>
    <row r="1468">
      <c r="F1468" s="18"/>
      <c r="G1468" s="12"/>
      <c r="H1468" s="18"/>
      <c r="I1468" s="12"/>
      <c r="J1468" s="18"/>
      <c r="K1468" s="13"/>
      <c r="S1468" s="28"/>
    </row>
    <row r="1469">
      <c r="F1469" s="18"/>
      <c r="G1469" s="12"/>
      <c r="H1469" s="18"/>
      <c r="I1469" s="12"/>
      <c r="J1469" s="18"/>
      <c r="K1469" s="13"/>
      <c r="S1469" s="28"/>
    </row>
    <row r="1470">
      <c r="F1470" s="18"/>
      <c r="G1470" s="12"/>
      <c r="H1470" s="18"/>
      <c r="I1470" s="12"/>
      <c r="J1470" s="18"/>
      <c r="K1470" s="13"/>
      <c r="S1470" s="28"/>
    </row>
    <row r="1471">
      <c r="F1471" s="18"/>
      <c r="G1471" s="12"/>
      <c r="H1471" s="18"/>
      <c r="I1471" s="12"/>
      <c r="J1471" s="18"/>
      <c r="K1471" s="13"/>
      <c r="S1471" s="28"/>
    </row>
    <row r="1472">
      <c r="F1472" s="18"/>
      <c r="G1472" s="12"/>
      <c r="H1472" s="18"/>
      <c r="I1472" s="12"/>
      <c r="J1472" s="18"/>
      <c r="K1472" s="13"/>
      <c r="S1472" s="28"/>
    </row>
    <row r="1473">
      <c r="F1473" s="18"/>
      <c r="G1473" s="12"/>
      <c r="H1473" s="18"/>
      <c r="I1473" s="12"/>
      <c r="J1473" s="18"/>
      <c r="K1473" s="13"/>
      <c r="S1473" s="28"/>
    </row>
    <row r="1474">
      <c r="F1474" s="18"/>
      <c r="G1474" s="12"/>
      <c r="H1474" s="18"/>
      <c r="I1474" s="12"/>
      <c r="J1474" s="18"/>
      <c r="K1474" s="13"/>
      <c r="S1474" s="28"/>
    </row>
    <row r="1475">
      <c r="F1475" s="18"/>
      <c r="G1475" s="12"/>
      <c r="H1475" s="18"/>
      <c r="I1475" s="12"/>
      <c r="J1475" s="18"/>
      <c r="K1475" s="13"/>
      <c r="S1475" s="28"/>
    </row>
    <row r="1476">
      <c r="F1476" s="18"/>
      <c r="G1476" s="12"/>
      <c r="H1476" s="18"/>
      <c r="I1476" s="12"/>
      <c r="J1476" s="18"/>
      <c r="K1476" s="13"/>
      <c r="S1476" s="28"/>
    </row>
    <row r="1477">
      <c r="F1477" s="18"/>
      <c r="G1477" s="12"/>
      <c r="H1477" s="18"/>
      <c r="I1477" s="12"/>
      <c r="J1477" s="18"/>
      <c r="K1477" s="13"/>
      <c r="S1477" s="28"/>
    </row>
    <row r="1478">
      <c r="F1478" s="18"/>
      <c r="G1478" s="12"/>
      <c r="H1478" s="18"/>
      <c r="I1478" s="12"/>
      <c r="J1478" s="18"/>
      <c r="K1478" s="13"/>
      <c r="S1478" s="28"/>
    </row>
    <row r="1479">
      <c r="F1479" s="18"/>
      <c r="G1479" s="12"/>
      <c r="H1479" s="18"/>
      <c r="I1479" s="12"/>
      <c r="J1479" s="18"/>
      <c r="K1479" s="13"/>
      <c r="S1479" s="28"/>
    </row>
    <row r="1480">
      <c r="F1480" s="18"/>
      <c r="G1480" s="12"/>
      <c r="H1480" s="18"/>
      <c r="I1480" s="12"/>
      <c r="J1480" s="18"/>
      <c r="K1480" s="13"/>
      <c r="S1480" s="28"/>
    </row>
    <row r="1481">
      <c r="F1481" s="18"/>
      <c r="G1481" s="12"/>
      <c r="H1481" s="18"/>
      <c r="I1481" s="12"/>
      <c r="J1481" s="18"/>
      <c r="K1481" s="13"/>
      <c r="S1481" s="28"/>
    </row>
    <row r="1482">
      <c r="F1482" s="18"/>
      <c r="G1482" s="12"/>
      <c r="H1482" s="18"/>
      <c r="I1482" s="12"/>
      <c r="J1482" s="18"/>
      <c r="K1482" s="13"/>
      <c r="S1482" s="28"/>
    </row>
    <row r="1483">
      <c r="F1483" s="18"/>
      <c r="G1483" s="12"/>
      <c r="H1483" s="18"/>
      <c r="I1483" s="12"/>
      <c r="J1483" s="18"/>
      <c r="K1483" s="13"/>
      <c r="S1483" s="28"/>
    </row>
    <row r="1484">
      <c r="F1484" s="18"/>
      <c r="G1484" s="12"/>
      <c r="H1484" s="18"/>
      <c r="I1484" s="12"/>
      <c r="J1484" s="18"/>
      <c r="K1484" s="13"/>
      <c r="S1484" s="28"/>
    </row>
    <row r="1485">
      <c r="F1485" s="18"/>
      <c r="G1485" s="12"/>
      <c r="H1485" s="18"/>
      <c r="I1485" s="12"/>
      <c r="J1485" s="18"/>
      <c r="K1485" s="13"/>
      <c r="S1485" s="28"/>
    </row>
    <row r="1486">
      <c r="F1486" s="18"/>
      <c r="G1486" s="12"/>
      <c r="H1486" s="18"/>
      <c r="I1486" s="12"/>
      <c r="J1486" s="18"/>
      <c r="K1486" s="13"/>
      <c r="S1486" s="28"/>
    </row>
    <row r="1487">
      <c r="F1487" s="18"/>
      <c r="G1487" s="12"/>
      <c r="H1487" s="18"/>
      <c r="I1487" s="12"/>
      <c r="J1487" s="18"/>
      <c r="K1487" s="13"/>
      <c r="S1487" s="28"/>
    </row>
    <row r="1488">
      <c r="F1488" s="18"/>
      <c r="G1488" s="12"/>
      <c r="H1488" s="18"/>
      <c r="I1488" s="12"/>
      <c r="J1488" s="18"/>
      <c r="K1488" s="13"/>
      <c r="S1488" s="28"/>
    </row>
    <row r="1489">
      <c r="F1489" s="18"/>
      <c r="G1489" s="12"/>
      <c r="H1489" s="18"/>
      <c r="I1489" s="12"/>
      <c r="J1489" s="18"/>
      <c r="K1489" s="13"/>
      <c r="S1489" s="28"/>
    </row>
    <row r="1490">
      <c r="F1490" s="18"/>
      <c r="G1490" s="12"/>
      <c r="H1490" s="18"/>
      <c r="I1490" s="12"/>
      <c r="J1490" s="18"/>
      <c r="K1490" s="13"/>
      <c r="S1490" s="28"/>
    </row>
    <row r="1491">
      <c r="F1491" s="18"/>
      <c r="G1491" s="12"/>
      <c r="H1491" s="18"/>
      <c r="I1491" s="12"/>
      <c r="J1491" s="18"/>
      <c r="K1491" s="13"/>
      <c r="S1491" s="28"/>
    </row>
    <row r="1492">
      <c r="F1492" s="18"/>
      <c r="G1492" s="12"/>
      <c r="H1492" s="18"/>
      <c r="I1492" s="12"/>
      <c r="J1492" s="18"/>
      <c r="K1492" s="13"/>
      <c r="S1492" s="28"/>
    </row>
    <row r="1493">
      <c r="F1493" s="18"/>
      <c r="G1493" s="12"/>
      <c r="H1493" s="18"/>
      <c r="I1493" s="12"/>
      <c r="J1493" s="18"/>
      <c r="K1493" s="13"/>
      <c r="S1493" s="28"/>
    </row>
    <row r="1494">
      <c r="F1494" s="18"/>
      <c r="G1494" s="12"/>
      <c r="H1494" s="18"/>
      <c r="I1494" s="12"/>
      <c r="J1494" s="18"/>
      <c r="K1494" s="13"/>
      <c r="S1494" s="28"/>
    </row>
    <row r="1495">
      <c r="F1495" s="18"/>
      <c r="G1495" s="12"/>
      <c r="H1495" s="18"/>
      <c r="I1495" s="12"/>
      <c r="J1495" s="18"/>
      <c r="K1495" s="13"/>
      <c r="S1495" s="28"/>
    </row>
    <row r="1496">
      <c r="F1496" s="18"/>
      <c r="G1496" s="12"/>
      <c r="H1496" s="18"/>
      <c r="I1496" s="12"/>
      <c r="J1496" s="18"/>
      <c r="K1496" s="13"/>
      <c r="S1496" s="28"/>
    </row>
    <row r="1497">
      <c r="F1497" s="18"/>
      <c r="G1497" s="12"/>
      <c r="H1497" s="18"/>
      <c r="I1497" s="12"/>
      <c r="J1497" s="18"/>
      <c r="K1497" s="13"/>
      <c r="S1497" s="28"/>
    </row>
    <row r="1498">
      <c r="F1498" s="18"/>
      <c r="G1498" s="12"/>
      <c r="H1498" s="18"/>
      <c r="I1498" s="12"/>
      <c r="J1498" s="18"/>
      <c r="K1498" s="13"/>
      <c r="S1498" s="28"/>
    </row>
    <row r="1499">
      <c r="F1499" s="18"/>
      <c r="G1499" s="12"/>
      <c r="H1499" s="18"/>
      <c r="I1499" s="12"/>
      <c r="J1499" s="18"/>
      <c r="K1499" s="13"/>
      <c r="S1499" s="28"/>
    </row>
    <row r="1500">
      <c r="F1500" s="18"/>
      <c r="G1500" s="12"/>
      <c r="H1500" s="18"/>
      <c r="I1500" s="12"/>
      <c r="J1500" s="18"/>
      <c r="K1500" s="13"/>
      <c r="S1500" s="28"/>
    </row>
    <row r="1501">
      <c r="F1501" s="18"/>
      <c r="G1501" s="12"/>
      <c r="H1501" s="18"/>
      <c r="I1501" s="12"/>
      <c r="J1501" s="18"/>
      <c r="K1501" s="13"/>
      <c r="S1501" s="28"/>
    </row>
    <row r="1502">
      <c r="F1502" s="18"/>
      <c r="G1502" s="12"/>
      <c r="H1502" s="18"/>
      <c r="I1502" s="12"/>
      <c r="J1502" s="18"/>
      <c r="K1502" s="13"/>
      <c r="S1502" s="28"/>
    </row>
    <row r="1503">
      <c r="F1503" s="18"/>
      <c r="G1503" s="12"/>
      <c r="H1503" s="18"/>
      <c r="I1503" s="12"/>
      <c r="J1503" s="18"/>
      <c r="K1503" s="13"/>
      <c r="S1503" s="28"/>
    </row>
    <row r="1504">
      <c r="F1504" s="18"/>
      <c r="G1504" s="12"/>
      <c r="H1504" s="18"/>
      <c r="I1504" s="12"/>
      <c r="J1504" s="18"/>
      <c r="K1504" s="13"/>
      <c r="S1504" s="28"/>
    </row>
    <row r="1505">
      <c r="F1505" s="18"/>
      <c r="G1505" s="12"/>
      <c r="H1505" s="18"/>
      <c r="I1505" s="12"/>
      <c r="J1505" s="18"/>
      <c r="K1505" s="13"/>
      <c r="S1505" s="28"/>
    </row>
    <row r="1506">
      <c r="F1506" s="18"/>
      <c r="G1506" s="12"/>
      <c r="H1506" s="18"/>
      <c r="I1506" s="12"/>
      <c r="J1506" s="18"/>
      <c r="K1506" s="13"/>
      <c r="S1506" s="28"/>
    </row>
    <row r="1507">
      <c r="F1507" s="18"/>
      <c r="G1507" s="12"/>
      <c r="H1507" s="18"/>
      <c r="I1507" s="12"/>
      <c r="J1507" s="18"/>
      <c r="K1507" s="13"/>
      <c r="S1507" s="28"/>
    </row>
    <row r="1508">
      <c r="F1508" s="18"/>
      <c r="G1508" s="12"/>
      <c r="H1508" s="18"/>
      <c r="I1508" s="12"/>
      <c r="J1508" s="18"/>
      <c r="K1508" s="13"/>
      <c r="S1508" s="28"/>
    </row>
    <row r="1509">
      <c r="F1509" s="18"/>
      <c r="G1509" s="12"/>
      <c r="H1509" s="18"/>
      <c r="I1509" s="12"/>
      <c r="J1509" s="18"/>
      <c r="K1509" s="13"/>
      <c r="S1509" s="28"/>
    </row>
    <row r="1510">
      <c r="F1510" s="18"/>
      <c r="G1510" s="12"/>
      <c r="H1510" s="18"/>
      <c r="I1510" s="12"/>
      <c r="J1510" s="18"/>
      <c r="K1510" s="13"/>
      <c r="S1510" s="28"/>
    </row>
    <row r="1511">
      <c r="F1511" s="18"/>
      <c r="G1511" s="12"/>
      <c r="H1511" s="18"/>
      <c r="I1511" s="12"/>
      <c r="J1511" s="18"/>
      <c r="K1511" s="13"/>
      <c r="S1511" s="28"/>
    </row>
    <row r="1512">
      <c r="F1512" s="18"/>
      <c r="G1512" s="12"/>
      <c r="H1512" s="18"/>
      <c r="I1512" s="12"/>
      <c r="J1512" s="18"/>
      <c r="K1512" s="13"/>
      <c r="S1512" s="28"/>
    </row>
    <row r="1513">
      <c r="F1513" s="18"/>
      <c r="G1513" s="12"/>
      <c r="H1513" s="18"/>
      <c r="I1513" s="12"/>
      <c r="J1513" s="18"/>
      <c r="K1513" s="13"/>
      <c r="S1513" s="28"/>
    </row>
    <row r="1514">
      <c r="F1514" s="18"/>
      <c r="G1514" s="12"/>
      <c r="H1514" s="18"/>
      <c r="I1514" s="12"/>
      <c r="J1514" s="18"/>
      <c r="K1514" s="13"/>
      <c r="S1514" s="28"/>
    </row>
    <row r="1515">
      <c r="F1515" s="18"/>
      <c r="G1515" s="12"/>
      <c r="H1515" s="18"/>
      <c r="I1515" s="12"/>
      <c r="J1515" s="18"/>
      <c r="K1515" s="13"/>
      <c r="S1515" s="28"/>
    </row>
    <row r="1516">
      <c r="F1516" s="18"/>
      <c r="G1516" s="12"/>
      <c r="H1516" s="18"/>
      <c r="I1516" s="12"/>
      <c r="J1516" s="18"/>
      <c r="K1516" s="13"/>
      <c r="S1516" s="28"/>
    </row>
    <row r="1517">
      <c r="F1517" s="18"/>
      <c r="G1517" s="12"/>
      <c r="H1517" s="18"/>
      <c r="I1517" s="12"/>
      <c r="J1517" s="18"/>
      <c r="K1517" s="13"/>
      <c r="S1517" s="28"/>
    </row>
    <row r="1518">
      <c r="F1518" s="18"/>
      <c r="G1518" s="12"/>
      <c r="H1518" s="18"/>
      <c r="I1518" s="12"/>
      <c r="J1518" s="18"/>
      <c r="K1518" s="13"/>
      <c r="S1518" s="28"/>
    </row>
    <row r="1519">
      <c r="F1519" s="18"/>
      <c r="G1519" s="12"/>
      <c r="H1519" s="18"/>
      <c r="I1519" s="12"/>
      <c r="J1519" s="18"/>
      <c r="K1519" s="13"/>
      <c r="S1519" s="28"/>
    </row>
    <row r="1520">
      <c r="F1520" s="18"/>
      <c r="G1520" s="12"/>
      <c r="H1520" s="18"/>
      <c r="I1520" s="12"/>
      <c r="J1520" s="18"/>
      <c r="K1520" s="13"/>
      <c r="S1520" s="28"/>
    </row>
    <row r="1521">
      <c r="F1521" s="18"/>
      <c r="G1521" s="12"/>
      <c r="H1521" s="18"/>
      <c r="I1521" s="12"/>
      <c r="J1521" s="18"/>
      <c r="K1521" s="13"/>
      <c r="S1521" s="28"/>
    </row>
    <row r="1522">
      <c r="F1522" s="18"/>
      <c r="G1522" s="12"/>
      <c r="H1522" s="18"/>
      <c r="I1522" s="12"/>
      <c r="J1522" s="18"/>
      <c r="K1522" s="13"/>
      <c r="S1522" s="28"/>
    </row>
    <row r="1523">
      <c r="F1523" s="18"/>
      <c r="G1523" s="12"/>
      <c r="H1523" s="18"/>
      <c r="I1523" s="12"/>
      <c r="J1523" s="18"/>
      <c r="K1523" s="13"/>
      <c r="S1523" s="28"/>
    </row>
    <row r="1524">
      <c r="F1524" s="18"/>
      <c r="G1524" s="12"/>
      <c r="H1524" s="18"/>
      <c r="I1524" s="12"/>
      <c r="J1524" s="18"/>
      <c r="K1524" s="13"/>
      <c r="S1524" s="28"/>
    </row>
    <row r="1525">
      <c r="F1525" s="18"/>
      <c r="G1525" s="12"/>
      <c r="H1525" s="18"/>
      <c r="I1525" s="12"/>
      <c r="J1525" s="18"/>
      <c r="K1525" s="13"/>
      <c r="S1525" s="28"/>
    </row>
    <row r="1526">
      <c r="F1526" s="18"/>
      <c r="G1526" s="12"/>
      <c r="H1526" s="18"/>
      <c r="I1526" s="12"/>
      <c r="J1526" s="18"/>
      <c r="K1526" s="13"/>
      <c r="S1526" s="28"/>
    </row>
    <row r="1527">
      <c r="F1527" s="18"/>
      <c r="G1527" s="12"/>
      <c r="H1527" s="18"/>
      <c r="I1527" s="12"/>
      <c r="J1527" s="18"/>
      <c r="K1527" s="13"/>
      <c r="S1527" s="28"/>
    </row>
    <row r="1528">
      <c r="F1528" s="18"/>
      <c r="G1528" s="12"/>
      <c r="H1528" s="18"/>
      <c r="I1528" s="12"/>
      <c r="J1528" s="18"/>
      <c r="K1528" s="13"/>
      <c r="S1528" s="28"/>
    </row>
    <row r="1529">
      <c r="F1529" s="18"/>
      <c r="G1529" s="12"/>
      <c r="H1529" s="18"/>
      <c r="I1529" s="12"/>
      <c r="J1529" s="18"/>
      <c r="K1529" s="13"/>
      <c r="S1529" s="28"/>
    </row>
    <row r="1530">
      <c r="F1530" s="18"/>
      <c r="G1530" s="12"/>
      <c r="H1530" s="18"/>
      <c r="I1530" s="12"/>
      <c r="J1530" s="18"/>
      <c r="K1530" s="13"/>
      <c r="S1530" s="28"/>
    </row>
    <row r="1531">
      <c r="F1531" s="18"/>
      <c r="G1531" s="12"/>
      <c r="H1531" s="18"/>
      <c r="I1531" s="12"/>
      <c r="J1531" s="18"/>
      <c r="K1531" s="13"/>
      <c r="S1531" s="28"/>
    </row>
    <row r="1532">
      <c r="F1532" s="18"/>
      <c r="G1532" s="12"/>
      <c r="H1532" s="18"/>
      <c r="I1532" s="12"/>
      <c r="J1532" s="18"/>
      <c r="K1532" s="13"/>
      <c r="S1532" s="28"/>
    </row>
    <row r="1533">
      <c r="F1533" s="18"/>
      <c r="G1533" s="12"/>
      <c r="H1533" s="18"/>
      <c r="I1533" s="12"/>
      <c r="J1533" s="18"/>
      <c r="K1533" s="13"/>
      <c r="S1533" s="28"/>
    </row>
    <row r="1534">
      <c r="F1534" s="18"/>
      <c r="G1534" s="12"/>
      <c r="H1534" s="18"/>
      <c r="I1534" s="12"/>
      <c r="J1534" s="18"/>
      <c r="K1534" s="13"/>
      <c r="S1534" s="28"/>
    </row>
    <row r="1535">
      <c r="F1535" s="18"/>
      <c r="G1535" s="12"/>
      <c r="H1535" s="18"/>
      <c r="I1535" s="12"/>
      <c r="J1535" s="18"/>
      <c r="K1535" s="13"/>
      <c r="S1535" s="28"/>
    </row>
    <row r="1536">
      <c r="F1536" s="18"/>
      <c r="G1536" s="12"/>
      <c r="H1536" s="18"/>
      <c r="I1536" s="12"/>
      <c r="J1536" s="18"/>
      <c r="K1536" s="13"/>
      <c r="S1536" s="28"/>
    </row>
    <row r="1537">
      <c r="F1537" s="18"/>
      <c r="G1537" s="12"/>
      <c r="H1537" s="18"/>
      <c r="I1537" s="12"/>
      <c r="J1537" s="18"/>
      <c r="K1537" s="13"/>
      <c r="S1537" s="28"/>
    </row>
    <row r="1538">
      <c r="F1538" s="18"/>
      <c r="G1538" s="12"/>
      <c r="H1538" s="18"/>
      <c r="I1538" s="12"/>
      <c r="J1538" s="18"/>
      <c r="K1538" s="13"/>
      <c r="S1538" s="28"/>
    </row>
    <row r="1539">
      <c r="F1539" s="18"/>
      <c r="G1539" s="12"/>
      <c r="H1539" s="18"/>
      <c r="I1539" s="12"/>
      <c r="J1539" s="18"/>
      <c r="K1539" s="13"/>
      <c r="S1539" s="28"/>
    </row>
    <row r="1540">
      <c r="F1540" s="18"/>
      <c r="G1540" s="12"/>
      <c r="H1540" s="18"/>
      <c r="I1540" s="12"/>
      <c r="J1540" s="18"/>
      <c r="K1540" s="13"/>
      <c r="S1540" s="28"/>
    </row>
    <row r="1541">
      <c r="F1541" s="18"/>
      <c r="G1541" s="12"/>
      <c r="H1541" s="18"/>
      <c r="I1541" s="12"/>
      <c r="J1541" s="18"/>
      <c r="K1541" s="13"/>
      <c r="S1541" s="28"/>
    </row>
    <row r="1542">
      <c r="F1542" s="18"/>
      <c r="G1542" s="12"/>
      <c r="H1542" s="18"/>
      <c r="I1542" s="12"/>
      <c r="J1542" s="18"/>
      <c r="K1542" s="13"/>
      <c r="S1542" s="28"/>
    </row>
    <row r="1543">
      <c r="F1543" s="18"/>
      <c r="G1543" s="12"/>
      <c r="H1543" s="18"/>
      <c r="I1543" s="12"/>
      <c r="J1543" s="18"/>
      <c r="K1543" s="13"/>
      <c r="S1543" s="28"/>
    </row>
    <row r="1544">
      <c r="F1544" s="18"/>
      <c r="G1544" s="12"/>
      <c r="H1544" s="18"/>
      <c r="I1544" s="12"/>
      <c r="J1544" s="18"/>
      <c r="K1544" s="13"/>
      <c r="S1544" s="28"/>
    </row>
    <row r="1545">
      <c r="F1545" s="18"/>
      <c r="G1545" s="12"/>
      <c r="H1545" s="18"/>
      <c r="I1545" s="12"/>
      <c r="J1545" s="18"/>
      <c r="K1545" s="13"/>
      <c r="S1545" s="28"/>
    </row>
    <row r="1546">
      <c r="F1546" s="18"/>
      <c r="G1546" s="12"/>
      <c r="H1546" s="18"/>
      <c r="I1546" s="12"/>
      <c r="J1546" s="18"/>
      <c r="K1546" s="13"/>
      <c r="S1546" s="28"/>
    </row>
    <row r="1547">
      <c r="F1547" s="18"/>
      <c r="G1547" s="12"/>
      <c r="H1547" s="18"/>
      <c r="I1547" s="12"/>
      <c r="J1547" s="18"/>
      <c r="K1547" s="13"/>
      <c r="S1547" s="28"/>
    </row>
    <row r="1548">
      <c r="F1548" s="18"/>
      <c r="G1548" s="12"/>
      <c r="H1548" s="18"/>
      <c r="I1548" s="12"/>
      <c r="J1548" s="18"/>
      <c r="K1548" s="13"/>
      <c r="S1548" s="28"/>
    </row>
    <row r="1549">
      <c r="F1549" s="18"/>
      <c r="G1549" s="12"/>
      <c r="H1549" s="18"/>
      <c r="I1549" s="12"/>
      <c r="J1549" s="18"/>
      <c r="K1549" s="13"/>
      <c r="S1549" s="28"/>
    </row>
    <row r="1550">
      <c r="F1550" s="18"/>
      <c r="G1550" s="12"/>
      <c r="H1550" s="18"/>
      <c r="I1550" s="12"/>
      <c r="J1550" s="18"/>
      <c r="K1550" s="13"/>
      <c r="S1550" s="28"/>
    </row>
    <row r="1551">
      <c r="F1551" s="18"/>
      <c r="G1551" s="12"/>
      <c r="H1551" s="18"/>
      <c r="I1551" s="12"/>
      <c r="J1551" s="18"/>
      <c r="K1551" s="13"/>
      <c r="S1551" s="28"/>
    </row>
    <row r="1552">
      <c r="F1552" s="18"/>
      <c r="G1552" s="12"/>
      <c r="H1552" s="18"/>
      <c r="I1552" s="12"/>
      <c r="J1552" s="18"/>
      <c r="K1552" s="13"/>
      <c r="S1552" s="28"/>
    </row>
    <row r="1553">
      <c r="F1553" s="18"/>
      <c r="G1553" s="12"/>
      <c r="H1553" s="18"/>
      <c r="I1553" s="12"/>
      <c r="J1553" s="18"/>
      <c r="K1553" s="13"/>
      <c r="S1553" s="28"/>
    </row>
    <row r="1554">
      <c r="F1554" s="18"/>
      <c r="G1554" s="12"/>
      <c r="H1554" s="18"/>
      <c r="I1554" s="12"/>
      <c r="J1554" s="18"/>
      <c r="K1554" s="13"/>
      <c r="S1554" s="28"/>
    </row>
    <row r="1555">
      <c r="F1555" s="18"/>
      <c r="G1555" s="12"/>
      <c r="H1555" s="18"/>
      <c r="I1555" s="12"/>
      <c r="J1555" s="18"/>
      <c r="K1555" s="13"/>
      <c r="S1555" s="28"/>
    </row>
    <row r="1556">
      <c r="F1556" s="18"/>
      <c r="G1556" s="12"/>
      <c r="H1556" s="18"/>
      <c r="I1556" s="12"/>
      <c r="J1556" s="18"/>
      <c r="K1556" s="13"/>
      <c r="S1556" s="28"/>
    </row>
    <row r="1557">
      <c r="F1557" s="18"/>
      <c r="G1557" s="12"/>
      <c r="H1557" s="18"/>
      <c r="I1557" s="12"/>
      <c r="J1557" s="18"/>
      <c r="K1557" s="13"/>
      <c r="S1557" s="28"/>
    </row>
    <row r="1558">
      <c r="F1558" s="18"/>
      <c r="G1558" s="12"/>
      <c r="H1558" s="18"/>
      <c r="I1558" s="12"/>
      <c r="J1558" s="18"/>
      <c r="K1558" s="13"/>
      <c r="S1558" s="28"/>
    </row>
    <row r="1559">
      <c r="F1559" s="18"/>
      <c r="G1559" s="12"/>
      <c r="H1559" s="18"/>
      <c r="I1559" s="12"/>
      <c r="J1559" s="18"/>
      <c r="K1559" s="13"/>
      <c r="S1559" s="28"/>
    </row>
    <row r="1560">
      <c r="F1560" s="18"/>
      <c r="G1560" s="12"/>
      <c r="H1560" s="18"/>
      <c r="I1560" s="12"/>
      <c r="J1560" s="18"/>
      <c r="K1560" s="13"/>
      <c r="S1560" s="28"/>
    </row>
    <row r="1561">
      <c r="F1561" s="18"/>
      <c r="G1561" s="12"/>
      <c r="H1561" s="18"/>
      <c r="I1561" s="12"/>
      <c r="J1561" s="18"/>
      <c r="K1561" s="13"/>
      <c r="S1561" s="28"/>
    </row>
    <row r="1562">
      <c r="F1562" s="18"/>
      <c r="G1562" s="12"/>
      <c r="H1562" s="18"/>
      <c r="I1562" s="12"/>
      <c r="J1562" s="18"/>
      <c r="K1562" s="13"/>
      <c r="S1562" s="28"/>
    </row>
    <row r="1563">
      <c r="F1563" s="18"/>
      <c r="G1563" s="12"/>
      <c r="H1563" s="18"/>
      <c r="I1563" s="12"/>
      <c r="J1563" s="18"/>
      <c r="K1563" s="13"/>
      <c r="S1563" s="28"/>
    </row>
    <row r="1564">
      <c r="F1564" s="18"/>
      <c r="G1564" s="12"/>
      <c r="H1564" s="18"/>
      <c r="I1564" s="12"/>
      <c r="J1564" s="18"/>
      <c r="K1564" s="13"/>
      <c r="S1564" s="28"/>
    </row>
    <row r="1565">
      <c r="F1565" s="18"/>
      <c r="G1565" s="12"/>
      <c r="H1565" s="18"/>
      <c r="I1565" s="12"/>
      <c r="J1565" s="18"/>
      <c r="K1565" s="13"/>
      <c r="S1565" s="28"/>
    </row>
    <row r="1566">
      <c r="F1566" s="18"/>
      <c r="G1566" s="12"/>
      <c r="H1566" s="18"/>
      <c r="I1566" s="12"/>
      <c r="J1566" s="18"/>
      <c r="K1566" s="13"/>
      <c r="S1566" s="28"/>
    </row>
    <row r="1567">
      <c r="F1567" s="18"/>
      <c r="G1567" s="12"/>
      <c r="H1567" s="18"/>
      <c r="I1567" s="12"/>
      <c r="J1567" s="18"/>
      <c r="K1567" s="13"/>
      <c r="S1567" s="28"/>
    </row>
    <row r="1568">
      <c r="F1568" s="18"/>
      <c r="G1568" s="12"/>
      <c r="H1568" s="18"/>
      <c r="I1568" s="12"/>
      <c r="J1568" s="18"/>
      <c r="K1568" s="13"/>
      <c r="S1568" s="28"/>
    </row>
    <row r="1569">
      <c r="F1569" s="18"/>
      <c r="G1569" s="12"/>
      <c r="H1569" s="18"/>
      <c r="I1569" s="12"/>
      <c r="J1569" s="18"/>
      <c r="K1569" s="13"/>
      <c r="S1569" s="28"/>
    </row>
    <row r="1570">
      <c r="F1570" s="18"/>
      <c r="G1570" s="12"/>
      <c r="H1570" s="18"/>
      <c r="I1570" s="12"/>
      <c r="J1570" s="18"/>
      <c r="K1570" s="13"/>
      <c r="S1570" s="28"/>
    </row>
    <row r="1571">
      <c r="F1571" s="18"/>
      <c r="G1571" s="12"/>
      <c r="H1571" s="18"/>
      <c r="I1571" s="12"/>
      <c r="J1571" s="18"/>
      <c r="K1571" s="13"/>
      <c r="S1571" s="28"/>
    </row>
    <row r="1572">
      <c r="F1572" s="18"/>
      <c r="G1572" s="12"/>
      <c r="H1572" s="18"/>
      <c r="I1572" s="12"/>
      <c r="J1572" s="18"/>
      <c r="K1572" s="13"/>
      <c r="S1572" s="28"/>
    </row>
    <row r="1573">
      <c r="F1573" s="18"/>
      <c r="G1573" s="12"/>
      <c r="H1573" s="18"/>
      <c r="I1573" s="12"/>
      <c r="J1573" s="18"/>
      <c r="K1573" s="13"/>
      <c r="S1573" s="28"/>
    </row>
    <row r="1574">
      <c r="F1574" s="18"/>
      <c r="G1574" s="12"/>
      <c r="H1574" s="18"/>
      <c r="I1574" s="12"/>
      <c r="J1574" s="18"/>
      <c r="K1574" s="13"/>
      <c r="S1574" s="28"/>
    </row>
    <row r="1575">
      <c r="F1575" s="18"/>
      <c r="G1575" s="12"/>
      <c r="H1575" s="18"/>
      <c r="I1575" s="12"/>
      <c r="J1575" s="18"/>
      <c r="K1575" s="13"/>
      <c r="S1575" s="28"/>
    </row>
    <row r="1576">
      <c r="F1576" s="18"/>
      <c r="G1576" s="12"/>
      <c r="H1576" s="18"/>
      <c r="I1576" s="12"/>
      <c r="J1576" s="18"/>
      <c r="K1576" s="13"/>
      <c r="S1576" s="28"/>
    </row>
    <row r="1577">
      <c r="F1577" s="18"/>
      <c r="G1577" s="12"/>
      <c r="H1577" s="18"/>
      <c r="I1577" s="12"/>
      <c r="J1577" s="18"/>
      <c r="K1577" s="13"/>
      <c r="S1577" s="28"/>
    </row>
    <row r="1578">
      <c r="F1578" s="18"/>
      <c r="G1578" s="12"/>
      <c r="H1578" s="18"/>
      <c r="I1578" s="12"/>
      <c r="J1578" s="18"/>
      <c r="K1578" s="13"/>
      <c r="S1578" s="28"/>
    </row>
    <row r="1579">
      <c r="F1579" s="18"/>
      <c r="G1579" s="12"/>
      <c r="H1579" s="18"/>
      <c r="I1579" s="12"/>
      <c r="J1579" s="18"/>
      <c r="K1579" s="13"/>
      <c r="S1579" s="28"/>
    </row>
    <row r="1580">
      <c r="F1580" s="18"/>
      <c r="G1580" s="12"/>
      <c r="H1580" s="18"/>
      <c r="I1580" s="12"/>
      <c r="J1580" s="18"/>
      <c r="K1580" s="13"/>
      <c r="S1580" s="28"/>
    </row>
    <row r="1581">
      <c r="F1581" s="18"/>
      <c r="G1581" s="12"/>
      <c r="H1581" s="18"/>
      <c r="I1581" s="12"/>
      <c r="J1581" s="18"/>
      <c r="K1581" s="13"/>
      <c r="S1581" s="28"/>
    </row>
    <row r="1582">
      <c r="F1582" s="18"/>
      <c r="G1582" s="12"/>
      <c r="H1582" s="18"/>
      <c r="I1582" s="12"/>
      <c r="J1582" s="18"/>
      <c r="K1582" s="13"/>
      <c r="S1582" s="28"/>
    </row>
    <row r="1583">
      <c r="F1583" s="18"/>
      <c r="G1583" s="12"/>
      <c r="H1583" s="18"/>
      <c r="I1583" s="12"/>
      <c r="J1583" s="18"/>
      <c r="K1583" s="13"/>
      <c r="S1583" s="28"/>
    </row>
    <row r="1584">
      <c r="F1584" s="18"/>
      <c r="G1584" s="12"/>
      <c r="H1584" s="18"/>
      <c r="I1584" s="12"/>
      <c r="J1584" s="18"/>
      <c r="K1584" s="13"/>
      <c r="S1584" s="28"/>
    </row>
    <row r="1585">
      <c r="F1585" s="18"/>
      <c r="G1585" s="12"/>
      <c r="H1585" s="18"/>
      <c r="I1585" s="12"/>
      <c r="J1585" s="18"/>
      <c r="K1585" s="13"/>
      <c r="S1585" s="28"/>
    </row>
    <row r="1586">
      <c r="F1586" s="18"/>
      <c r="G1586" s="12"/>
      <c r="H1586" s="18"/>
      <c r="I1586" s="12"/>
      <c r="J1586" s="18"/>
      <c r="K1586" s="13"/>
      <c r="S1586" s="28"/>
    </row>
    <row r="1587">
      <c r="F1587" s="18"/>
      <c r="G1587" s="12"/>
      <c r="H1587" s="18"/>
      <c r="I1587" s="12"/>
      <c r="J1587" s="18"/>
      <c r="K1587" s="13"/>
      <c r="S1587" s="28"/>
    </row>
    <row r="1588">
      <c r="F1588" s="18"/>
      <c r="G1588" s="12"/>
      <c r="H1588" s="18"/>
      <c r="I1588" s="12"/>
      <c r="J1588" s="18"/>
      <c r="K1588" s="13"/>
      <c r="S1588" s="28"/>
    </row>
    <row r="1589">
      <c r="F1589" s="18"/>
      <c r="G1589" s="12"/>
      <c r="H1589" s="18"/>
      <c r="I1589" s="12"/>
      <c r="J1589" s="18"/>
      <c r="K1589" s="13"/>
      <c r="S1589" s="28"/>
    </row>
    <row r="1590">
      <c r="F1590" s="18"/>
      <c r="G1590" s="12"/>
      <c r="H1590" s="18"/>
      <c r="I1590" s="12"/>
      <c r="J1590" s="18"/>
      <c r="K1590" s="13"/>
      <c r="S1590" s="28"/>
    </row>
    <row r="1591">
      <c r="F1591" s="18"/>
      <c r="G1591" s="12"/>
      <c r="H1591" s="18"/>
      <c r="I1591" s="12"/>
      <c r="J1591" s="18"/>
      <c r="K1591" s="13"/>
      <c r="S1591" s="28"/>
    </row>
    <row r="1592">
      <c r="F1592" s="18"/>
      <c r="G1592" s="12"/>
      <c r="H1592" s="18"/>
      <c r="I1592" s="12"/>
      <c r="J1592" s="18"/>
      <c r="K1592" s="13"/>
      <c r="S1592" s="28"/>
    </row>
    <row r="1593">
      <c r="F1593" s="18"/>
      <c r="G1593" s="12"/>
      <c r="H1593" s="18"/>
      <c r="I1593" s="12"/>
      <c r="J1593" s="18"/>
      <c r="K1593" s="13"/>
      <c r="S1593" s="28"/>
    </row>
    <row r="1594">
      <c r="F1594" s="18"/>
      <c r="G1594" s="12"/>
      <c r="H1594" s="18"/>
      <c r="I1594" s="12"/>
      <c r="J1594" s="18"/>
      <c r="K1594" s="13"/>
      <c r="S1594" s="28"/>
    </row>
    <row r="1595">
      <c r="F1595" s="18"/>
      <c r="G1595" s="12"/>
      <c r="H1595" s="18"/>
      <c r="I1595" s="12"/>
      <c r="J1595" s="18"/>
      <c r="K1595" s="13"/>
      <c r="S1595" s="28"/>
    </row>
    <row r="1596">
      <c r="F1596" s="18"/>
      <c r="G1596" s="12"/>
      <c r="H1596" s="18"/>
      <c r="I1596" s="12"/>
      <c r="J1596" s="18"/>
      <c r="K1596" s="13"/>
      <c r="S1596" s="28"/>
    </row>
    <row r="1597">
      <c r="F1597" s="18"/>
      <c r="G1597" s="12"/>
      <c r="H1597" s="18"/>
      <c r="I1597" s="12"/>
      <c r="J1597" s="18"/>
      <c r="K1597" s="13"/>
      <c r="S1597" s="28"/>
    </row>
    <row r="1598">
      <c r="F1598" s="18"/>
      <c r="G1598" s="12"/>
      <c r="H1598" s="18"/>
      <c r="I1598" s="12"/>
      <c r="J1598" s="18"/>
      <c r="K1598" s="13"/>
      <c r="S1598" s="28"/>
    </row>
    <row r="1599">
      <c r="F1599" s="18"/>
      <c r="G1599" s="12"/>
      <c r="H1599" s="18"/>
      <c r="I1599" s="12"/>
      <c r="J1599" s="18"/>
      <c r="K1599" s="13"/>
      <c r="S1599" s="28"/>
    </row>
    <row r="1600">
      <c r="F1600" s="18"/>
      <c r="G1600" s="12"/>
      <c r="H1600" s="18"/>
      <c r="I1600" s="12"/>
      <c r="J1600" s="18"/>
      <c r="K1600" s="13"/>
      <c r="S1600" s="28"/>
    </row>
    <row r="1601">
      <c r="F1601" s="18"/>
      <c r="G1601" s="12"/>
      <c r="H1601" s="18"/>
      <c r="I1601" s="12"/>
      <c r="J1601" s="18"/>
      <c r="K1601" s="13"/>
      <c r="S1601" s="28"/>
    </row>
    <row r="1602">
      <c r="F1602" s="18"/>
      <c r="G1602" s="12"/>
      <c r="H1602" s="18"/>
      <c r="I1602" s="12"/>
      <c r="J1602" s="18"/>
      <c r="K1602" s="13"/>
      <c r="S1602" s="28"/>
    </row>
    <row r="1603">
      <c r="F1603" s="18"/>
      <c r="G1603" s="12"/>
      <c r="H1603" s="18"/>
      <c r="I1603" s="12"/>
      <c r="J1603" s="18"/>
      <c r="K1603" s="13"/>
      <c r="S1603" s="28"/>
    </row>
    <row r="1604">
      <c r="F1604" s="18"/>
      <c r="G1604" s="12"/>
      <c r="H1604" s="18"/>
      <c r="I1604" s="12"/>
      <c r="J1604" s="18"/>
      <c r="K1604" s="13"/>
      <c r="S1604" s="28"/>
    </row>
    <row r="1605">
      <c r="F1605" s="18"/>
      <c r="G1605" s="12"/>
      <c r="H1605" s="18"/>
      <c r="I1605" s="12"/>
      <c r="J1605" s="18"/>
      <c r="K1605" s="13"/>
      <c r="S1605" s="28"/>
    </row>
    <row r="1606">
      <c r="F1606" s="18"/>
      <c r="G1606" s="12"/>
      <c r="H1606" s="18"/>
      <c r="I1606" s="12"/>
      <c r="J1606" s="18"/>
      <c r="K1606" s="13"/>
      <c r="S1606" s="28"/>
    </row>
    <row r="1607">
      <c r="F1607" s="18"/>
      <c r="G1607" s="12"/>
      <c r="H1607" s="18"/>
      <c r="I1607" s="12"/>
      <c r="J1607" s="18"/>
      <c r="K1607" s="13"/>
      <c r="S1607" s="28"/>
    </row>
    <row r="1608">
      <c r="F1608" s="18"/>
      <c r="G1608" s="12"/>
      <c r="H1608" s="18"/>
      <c r="I1608" s="12"/>
      <c r="J1608" s="18"/>
      <c r="K1608" s="13"/>
      <c r="S1608" s="28"/>
    </row>
    <row r="1609">
      <c r="F1609" s="18"/>
      <c r="G1609" s="12"/>
      <c r="H1609" s="18"/>
      <c r="I1609" s="12"/>
      <c r="J1609" s="18"/>
      <c r="K1609" s="13"/>
      <c r="S1609" s="28"/>
    </row>
    <row r="1610">
      <c r="F1610" s="18"/>
      <c r="G1610" s="12"/>
      <c r="H1610" s="18"/>
      <c r="I1610" s="12"/>
      <c r="J1610" s="18"/>
      <c r="K1610" s="13"/>
      <c r="S1610" s="28"/>
    </row>
    <row r="1611">
      <c r="F1611" s="18"/>
      <c r="G1611" s="12"/>
      <c r="H1611" s="18"/>
      <c r="I1611" s="12"/>
      <c r="J1611" s="18"/>
      <c r="K1611" s="13"/>
      <c r="S1611" s="28"/>
    </row>
    <row r="1612">
      <c r="F1612" s="18"/>
      <c r="G1612" s="12"/>
      <c r="H1612" s="18"/>
      <c r="I1612" s="12"/>
      <c r="J1612" s="18"/>
      <c r="K1612" s="13"/>
      <c r="S1612" s="28"/>
    </row>
    <row r="1613">
      <c r="F1613" s="18"/>
      <c r="G1613" s="12"/>
      <c r="H1613" s="18"/>
      <c r="I1613" s="12"/>
      <c r="J1613" s="18"/>
      <c r="K1613" s="13"/>
      <c r="S1613" s="28"/>
    </row>
    <row r="1614">
      <c r="F1614" s="18"/>
      <c r="G1614" s="12"/>
      <c r="H1614" s="18"/>
      <c r="I1614" s="12"/>
      <c r="J1614" s="18"/>
      <c r="K1614" s="13"/>
      <c r="S1614" s="28"/>
    </row>
    <row r="1615">
      <c r="F1615" s="18"/>
      <c r="G1615" s="12"/>
      <c r="H1615" s="18"/>
      <c r="I1615" s="12"/>
      <c r="J1615" s="18"/>
      <c r="K1615" s="13"/>
      <c r="S1615" s="28"/>
    </row>
    <row r="1616">
      <c r="F1616" s="18"/>
      <c r="G1616" s="12"/>
      <c r="H1616" s="18"/>
      <c r="I1616" s="12"/>
      <c r="J1616" s="18"/>
      <c r="K1616" s="13"/>
      <c r="S1616" s="28"/>
    </row>
    <row r="1617">
      <c r="F1617" s="18"/>
      <c r="G1617" s="12"/>
      <c r="H1617" s="18"/>
      <c r="I1617" s="12"/>
      <c r="J1617" s="18"/>
      <c r="K1617" s="13"/>
      <c r="S1617" s="28"/>
    </row>
    <row r="1618">
      <c r="F1618" s="18"/>
      <c r="G1618" s="12"/>
      <c r="H1618" s="18"/>
      <c r="I1618" s="12"/>
      <c r="J1618" s="18"/>
      <c r="K1618" s="13"/>
      <c r="S1618" s="28"/>
    </row>
    <row r="1619">
      <c r="F1619" s="18"/>
      <c r="G1619" s="12"/>
      <c r="H1619" s="18"/>
      <c r="I1619" s="12"/>
      <c r="J1619" s="18"/>
      <c r="K1619" s="13"/>
      <c r="S1619" s="28"/>
    </row>
    <row r="1620">
      <c r="F1620" s="18"/>
      <c r="G1620" s="12"/>
      <c r="H1620" s="18"/>
      <c r="I1620" s="12"/>
      <c r="J1620" s="18"/>
      <c r="K1620" s="13"/>
      <c r="S1620" s="28"/>
    </row>
    <row r="1621">
      <c r="F1621" s="18"/>
      <c r="G1621" s="12"/>
      <c r="H1621" s="18"/>
      <c r="I1621" s="12"/>
      <c r="J1621" s="18"/>
      <c r="K1621" s="13"/>
      <c r="S1621" s="28"/>
    </row>
    <row r="1622">
      <c r="F1622" s="18"/>
      <c r="G1622" s="12"/>
      <c r="H1622" s="18"/>
      <c r="I1622" s="12"/>
      <c r="J1622" s="18"/>
      <c r="K1622" s="13"/>
      <c r="S1622" s="28"/>
    </row>
    <row r="1623">
      <c r="F1623" s="18"/>
      <c r="G1623" s="12"/>
      <c r="H1623" s="18"/>
      <c r="I1623" s="12"/>
      <c r="J1623" s="18"/>
      <c r="K1623" s="13"/>
      <c r="S1623" s="28"/>
    </row>
    <row r="1624">
      <c r="F1624" s="18"/>
      <c r="G1624" s="12"/>
      <c r="H1624" s="18"/>
      <c r="I1624" s="12"/>
      <c r="J1624" s="18"/>
      <c r="K1624" s="13"/>
      <c r="S1624" s="28"/>
    </row>
    <row r="1625">
      <c r="F1625" s="18"/>
      <c r="G1625" s="12"/>
      <c r="H1625" s="18"/>
      <c r="I1625" s="12"/>
      <c r="J1625" s="18"/>
      <c r="K1625" s="13"/>
      <c r="S1625" s="28"/>
    </row>
    <row r="1626">
      <c r="F1626" s="18"/>
      <c r="G1626" s="12"/>
      <c r="H1626" s="18"/>
      <c r="I1626" s="12"/>
      <c r="J1626" s="18"/>
      <c r="K1626" s="13"/>
      <c r="S1626" s="28"/>
    </row>
    <row r="1627">
      <c r="F1627" s="18"/>
      <c r="G1627" s="12"/>
      <c r="H1627" s="18"/>
      <c r="I1627" s="12"/>
      <c r="J1627" s="18"/>
      <c r="K1627" s="13"/>
      <c r="S1627" s="28"/>
    </row>
    <row r="1628">
      <c r="F1628" s="18"/>
      <c r="G1628" s="12"/>
      <c r="H1628" s="18"/>
      <c r="I1628" s="12"/>
      <c r="J1628" s="18"/>
      <c r="K1628" s="13"/>
      <c r="S1628" s="28"/>
    </row>
    <row r="1629">
      <c r="F1629" s="18"/>
      <c r="G1629" s="12"/>
      <c r="H1629" s="18"/>
      <c r="I1629" s="12"/>
      <c r="J1629" s="18"/>
      <c r="K1629" s="13"/>
      <c r="S1629" s="28"/>
    </row>
    <row r="1630">
      <c r="F1630" s="18"/>
      <c r="G1630" s="12"/>
      <c r="H1630" s="18"/>
      <c r="I1630" s="12"/>
      <c r="J1630" s="18"/>
      <c r="K1630" s="13"/>
      <c r="S1630" s="28"/>
    </row>
    <row r="1631">
      <c r="F1631" s="18"/>
      <c r="G1631" s="12"/>
      <c r="H1631" s="18"/>
      <c r="I1631" s="12"/>
      <c r="J1631" s="18"/>
      <c r="K1631" s="13"/>
      <c r="S1631" s="28"/>
    </row>
    <row r="1632">
      <c r="F1632" s="18"/>
      <c r="G1632" s="12"/>
      <c r="H1632" s="18"/>
      <c r="I1632" s="12"/>
      <c r="J1632" s="18"/>
      <c r="K1632" s="13"/>
      <c r="S1632" s="28"/>
    </row>
    <row r="1633">
      <c r="F1633" s="18"/>
      <c r="G1633" s="12"/>
      <c r="H1633" s="18"/>
      <c r="I1633" s="12"/>
      <c r="J1633" s="18"/>
      <c r="K1633" s="13"/>
      <c r="S1633" s="28"/>
    </row>
    <row r="1634">
      <c r="F1634" s="18"/>
      <c r="G1634" s="12"/>
      <c r="H1634" s="18"/>
      <c r="I1634" s="12"/>
      <c r="J1634" s="18"/>
      <c r="K1634" s="13"/>
      <c r="S1634" s="28"/>
    </row>
    <row r="1635">
      <c r="F1635" s="18"/>
      <c r="G1635" s="12"/>
      <c r="H1635" s="18"/>
      <c r="I1635" s="12"/>
      <c r="J1635" s="18"/>
      <c r="K1635" s="13"/>
      <c r="S1635" s="28"/>
    </row>
    <row r="1636">
      <c r="F1636" s="18"/>
      <c r="G1636" s="12"/>
      <c r="H1636" s="18"/>
      <c r="I1636" s="12"/>
      <c r="J1636" s="18"/>
      <c r="K1636" s="13"/>
      <c r="S1636" s="28"/>
    </row>
    <row r="1637">
      <c r="F1637" s="18"/>
      <c r="G1637" s="12"/>
      <c r="H1637" s="18"/>
      <c r="I1637" s="12"/>
      <c r="J1637" s="18"/>
      <c r="K1637" s="13"/>
      <c r="S1637" s="28"/>
    </row>
    <row r="1638">
      <c r="F1638" s="18"/>
      <c r="G1638" s="12"/>
      <c r="H1638" s="18"/>
      <c r="I1638" s="12"/>
      <c r="J1638" s="18"/>
      <c r="K1638" s="13"/>
      <c r="S1638" s="28"/>
    </row>
    <row r="1639">
      <c r="F1639" s="18"/>
      <c r="G1639" s="12"/>
      <c r="H1639" s="18"/>
      <c r="I1639" s="12"/>
      <c r="J1639" s="18"/>
      <c r="K1639" s="13"/>
      <c r="S1639" s="28"/>
    </row>
    <row r="1640">
      <c r="F1640" s="18"/>
      <c r="G1640" s="12"/>
      <c r="H1640" s="18"/>
      <c r="I1640" s="12"/>
      <c r="J1640" s="18"/>
      <c r="K1640" s="13"/>
      <c r="S1640" s="28"/>
    </row>
    <row r="1641">
      <c r="F1641" s="18"/>
      <c r="G1641" s="12"/>
      <c r="H1641" s="18"/>
      <c r="I1641" s="12"/>
      <c r="J1641" s="18"/>
      <c r="K1641" s="13"/>
      <c r="S1641" s="28"/>
    </row>
    <row r="1642">
      <c r="F1642" s="18"/>
      <c r="G1642" s="12"/>
      <c r="H1642" s="18"/>
      <c r="I1642" s="12"/>
      <c r="J1642" s="18"/>
      <c r="K1642" s="13"/>
      <c r="S1642" s="28"/>
    </row>
    <row r="1643">
      <c r="F1643" s="18"/>
      <c r="G1643" s="12"/>
      <c r="H1643" s="18"/>
      <c r="I1643" s="12"/>
      <c r="J1643" s="18"/>
      <c r="K1643" s="13"/>
      <c r="S1643" s="28"/>
    </row>
    <row r="1644">
      <c r="F1644" s="18"/>
      <c r="G1644" s="12"/>
      <c r="H1644" s="18"/>
      <c r="I1644" s="12"/>
      <c r="J1644" s="18"/>
      <c r="K1644" s="13"/>
      <c r="S1644" s="28"/>
    </row>
    <row r="1645">
      <c r="F1645" s="18"/>
      <c r="G1645" s="12"/>
      <c r="H1645" s="18"/>
      <c r="I1645" s="12"/>
      <c r="J1645" s="18"/>
      <c r="K1645" s="13"/>
      <c r="S1645" s="28"/>
    </row>
    <row r="1646">
      <c r="F1646" s="18"/>
      <c r="G1646" s="12"/>
      <c r="H1646" s="18"/>
      <c r="I1646" s="12"/>
      <c r="J1646" s="18"/>
      <c r="K1646" s="13"/>
      <c r="S1646" s="28"/>
    </row>
    <row r="1647">
      <c r="F1647" s="18"/>
      <c r="G1647" s="12"/>
      <c r="H1647" s="18"/>
      <c r="I1647" s="12"/>
      <c r="J1647" s="18"/>
      <c r="K1647" s="13"/>
      <c r="S1647" s="28"/>
    </row>
    <row r="1648">
      <c r="F1648" s="18"/>
      <c r="G1648" s="12"/>
      <c r="H1648" s="18"/>
      <c r="I1648" s="12"/>
      <c r="J1648" s="18"/>
      <c r="K1648" s="13"/>
      <c r="S1648" s="28"/>
    </row>
    <row r="1649">
      <c r="F1649" s="18"/>
      <c r="G1649" s="12"/>
      <c r="H1649" s="18"/>
      <c r="I1649" s="12"/>
      <c r="J1649" s="18"/>
      <c r="K1649" s="13"/>
      <c r="S1649" s="28"/>
    </row>
    <row r="1650">
      <c r="F1650" s="18"/>
      <c r="G1650" s="12"/>
      <c r="H1650" s="18"/>
      <c r="I1650" s="12"/>
      <c r="J1650" s="18"/>
      <c r="K1650" s="13"/>
      <c r="S1650" s="28"/>
    </row>
    <row r="1651">
      <c r="F1651" s="18"/>
      <c r="G1651" s="12"/>
      <c r="H1651" s="18"/>
      <c r="I1651" s="12"/>
      <c r="J1651" s="18"/>
      <c r="K1651" s="13"/>
      <c r="S1651" s="28"/>
    </row>
    <row r="1652">
      <c r="F1652" s="18"/>
      <c r="G1652" s="12"/>
      <c r="H1652" s="18"/>
      <c r="I1652" s="12"/>
      <c r="J1652" s="18"/>
      <c r="K1652" s="13"/>
      <c r="S1652" s="28"/>
    </row>
    <row r="1653">
      <c r="F1653" s="18"/>
      <c r="G1653" s="12"/>
      <c r="H1653" s="18"/>
      <c r="I1653" s="12"/>
      <c r="J1653" s="18"/>
      <c r="K1653" s="13"/>
      <c r="S1653" s="28"/>
    </row>
    <row r="1654">
      <c r="F1654" s="18"/>
      <c r="G1654" s="12"/>
      <c r="H1654" s="18"/>
      <c r="I1654" s="12"/>
      <c r="J1654" s="18"/>
      <c r="K1654" s="13"/>
      <c r="S1654" s="28"/>
    </row>
    <row r="1655">
      <c r="F1655" s="18"/>
      <c r="G1655" s="12"/>
      <c r="H1655" s="18"/>
      <c r="I1655" s="12"/>
      <c r="J1655" s="18"/>
      <c r="K1655" s="13"/>
      <c r="S1655" s="28"/>
    </row>
    <row r="1656">
      <c r="F1656" s="18"/>
      <c r="G1656" s="12"/>
      <c r="H1656" s="18"/>
      <c r="I1656" s="12"/>
      <c r="J1656" s="18"/>
      <c r="K1656" s="13"/>
      <c r="S1656" s="28"/>
    </row>
    <row r="1657">
      <c r="F1657" s="18"/>
      <c r="G1657" s="12"/>
      <c r="H1657" s="18"/>
      <c r="I1657" s="12"/>
      <c r="J1657" s="18"/>
      <c r="K1657" s="13"/>
      <c r="S1657" s="28"/>
    </row>
    <row r="1658">
      <c r="F1658" s="18"/>
      <c r="G1658" s="12"/>
      <c r="H1658" s="18"/>
      <c r="I1658" s="12"/>
      <c r="J1658" s="18"/>
      <c r="K1658" s="13"/>
      <c r="S1658" s="28"/>
    </row>
    <row r="1659">
      <c r="F1659" s="18"/>
      <c r="G1659" s="12"/>
      <c r="H1659" s="18"/>
      <c r="I1659" s="12"/>
      <c r="J1659" s="18"/>
      <c r="K1659" s="13"/>
      <c r="S1659" s="28"/>
    </row>
    <row r="1660">
      <c r="F1660" s="18"/>
      <c r="G1660" s="12"/>
      <c r="H1660" s="18"/>
      <c r="I1660" s="12"/>
      <c r="J1660" s="18"/>
      <c r="K1660" s="13"/>
      <c r="S1660" s="28"/>
    </row>
    <row r="1661">
      <c r="F1661" s="18"/>
      <c r="G1661" s="12"/>
      <c r="H1661" s="18"/>
      <c r="I1661" s="12"/>
      <c r="J1661" s="18"/>
      <c r="K1661" s="13"/>
      <c r="S1661" s="28"/>
    </row>
    <row r="1662">
      <c r="F1662" s="18"/>
      <c r="G1662" s="12"/>
      <c r="H1662" s="18"/>
      <c r="I1662" s="12"/>
      <c r="J1662" s="18"/>
      <c r="K1662" s="13"/>
      <c r="S1662" s="28"/>
    </row>
    <row r="1663">
      <c r="F1663" s="18"/>
      <c r="G1663" s="12"/>
      <c r="H1663" s="18"/>
      <c r="I1663" s="12"/>
      <c r="J1663" s="18"/>
      <c r="K1663" s="13"/>
      <c r="S1663" s="28"/>
    </row>
    <row r="1664">
      <c r="F1664" s="18"/>
      <c r="G1664" s="12"/>
      <c r="H1664" s="18"/>
      <c r="I1664" s="12"/>
      <c r="J1664" s="18"/>
      <c r="K1664" s="13"/>
      <c r="S1664" s="28"/>
    </row>
    <row r="1665">
      <c r="F1665" s="18"/>
      <c r="G1665" s="12"/>
      <c r="H1665" s="18"/>
      <c r="I1665" s="12"/>
      <c r="J1665" s="18"/>
      <c r="K1665" s="13"/>
      <c r="S1665" s="28"/>
    </row>
    <row r="1666">
      <c r="F1666" s="18"/>
      <c r="G1666" s="12"/>
      <c r="H1666" s="18"/>
      <c r="I1666" s="12"/>
      <c r="J1666" s="18"/>
      <c r="K1666" s="13"/>
      <c r="S1666" s="28"/>
    </row>
    <row r="1667">
      <c r="F1667" s="18"/>
      <c r="G1667" s="12"/>
      <c r="H1667" s="18"/>
      <c r="I1667" s="12"/>
      <c r="J1667" s="18"/>
      <c r="K1667" s="13"/>
      <c r="S1667" s="28"/>
    </row>
    <row r="1668">
      <c r="F1668" s="18"/>
      <c r="G1668" s="12"/>
      <c r="H1668" s="18"/>
      <c r="I1668" s="12"/>
      <c r="J1668" s="18"/>
      <c r="K1668" s="13"/>
      <c r="S1668" s="28"/>
    </row>
    <row r="1669">
      <c r="F1669" s="18"/>
      <c r="G1669" s="12"/>
      <c r="H1669" s="18"/>
      <c r="I1669" s="12"/>
      <c r="J1669" s="18"/>
      <c r="K1669" s="13"/>
      <c r="S1669" s="28"/>
    </row>
    <row r="1670">
      <c r="F1670" s="18"/>
      <c r="G1670" s="12"/>
      <c r="H1670" s="18"/>
      <c r="I1670" s="12"/>
      <c r="J1670" s="18"/>
      <c r="K1670" s="13"/>
      <c r="S1670" s="28"/>
    </row>
    <row r="1671">
      <c r="F1671" s="18"/>
      <c r="G1671" s="12"/>
      <c r="H1671" s="18"/>
      <c r="I1671" s="12"/>
      <c r="J1671" s="18"/>
      <c r="K1671" s="13"/>
      <c r="S1671" s="28"/>
    </row>
    <row r="1672">
      <c r="F1672" s="18"/>
      <c r="G1672" s="12"/>
      <c r="H1672" s="18"/>
      <c r="I1672" s="12"/>
      <c r="J1672" s="18"/>
      <c r="K1672" s="13"/>
      <c r="S1672" s="28"/>
    </row>
    <row r="1673">
      <c r="F1673" s="18"/>
      <c r="G1673" s="12"/>
      <c r="H1673" s="18"/>
      <c r="I1673" s="12"/>
      <c r="J1673" s="18"/>
      <c r="K1673" s="13"/>
      <c r="S1673" s="28"/>
    </row>
    <row r="1674">
      <c r="F1674" s="18"/>
      <c r="G1674" s="12"/>
      <c r="H1674" s="18"/>
      <c r="I1674" s="12"/>
      <c r="J1674" s="18"/>
      <c r="K1674" s="13"/>
      <c r="S1674" s="28"/>
    </row>
    <row r="1675">
      <c r="F1675" s="18"/>
      <c r="G1675" s="12"/>
      <c r="H1675" s="18"/>
      <c r="I1675" s="12"/>
      <c r="J1675" s="18"/>
      <c r="K1675" s="13"/>
      <c r="S1675" s="28"/>
    </row>
    <row r="1676">
      <c r="F1676" s="18"/>
      <c r="G1676" s="12"/>
      <c r="H1676" s="18"/>
      <c r="I1676" s="12"/>
      <c r="J1676" s="18"/>
      <c r="K1676" s="13"/>
      <c r="S1676" s="28"/>
    </row>
    <row r="1677">
      <c r="F1677" s="18"/>
      <c r="G1677" s="12"/>
      <c r="H1677" s="18"/>
      <c r="I1677" s="12"/>
      <c r="J1677" s="18"/>
      <c r="K1677" s="13"/>
      <c r="S1677" s="28"/>
    </row>
    <row r="1678">
      <c r="F1678" s="18"/>
      <c r="G1678" s="12"/>
      <c r="H1678" s="18"/>
      <c r="I1678" s="12"/>
      <c r="J1678" s="18"/>
      <c r="K1678" s="13"/>
      <c r="S1678" s="28"/>
    </row>
    <row r="1679">
      <c r="F1679" s="18"/>
      <c r="G1679" s="12"/>
      <c r="H1679" s="18"/>
      <c r="I1679" s="12"/>
      <c r="J1679" s="18"/>
      <c r="K1679" s="13"/>
      <c r="S1679" s="28"/>
    </row>
    <row r="1680">
      <c r="F1680" s="18"/>
      <c r="G1680" s="12"/>
      <c r="H1680" s="18"/>
      <c r="I1680" s="12"/>
      <c r="J1680" s="18"/>
      <c r="K1680" s="13"/>
      <c r="S1680" s="28"/>
    </row>
    <row r="1681">
      <c r="F1681" s="18"/>
      <c r="G1681" s="12"/>
      <c r="H1681" s="18"/>
      <c r="I1681" s="12"/>
      <c r="J1681" s="18"/>
      <c r="K1681" s="13"/>
      <c r="S1681" s="28"/>
    </row>
    <row r="1682">
      <c r="F1682" s="18"/>
      <c r="G1682" s="12"/>
      <c r="H1682" s="18"/>
      <c r="I1682" s="12"/>
      <c r="J1682" s="18"/>
      <c r="K1682" s="13"/>
      <c r="S1682" s="28"/>
    </row>
    <row r="1683">
      <c r="F1683" s="18"/>
      <c r="G1683" s="12"/>
      <c r="H1683" s="18"/>
      <c r="I1683" s="12"/>
      <c r="J1683" s="18"/>
      <c r="K1683" s="13"/>
      <c r="S1683" s="28"/>
    </row>
    <row r="1684">
      <c r="F1684" s="18"/>
      <c r="G1684" s="12"/>
      <c r="H1684" s="18"/>
      <c r="I1684" s="12"/>
      <c r="J1684" s="18"/>
      <c r="K1684" s="13"/>
      <c r="S1684" s="28"/>
    </row>
    <row r="1685">
      <c r="F1685" s="18"/>
      <c r="G1685" s="12"/>
      <c r="H1685" s="18"/>
      <c r="I1685" s="12"/>
      <c r="J1685" s="18"/>
      <c r="K1685" s="13"/>
      <c r="S1685" s="28"/>
    </row>
    <row r="1686">
      <c r="F1686" s="18"/>
      <c r="G1686" s="12"/>
      <c r="H1686" s="18"/>
      <c r="I1686" s="12"/>
      <c r="J1686" s="18"/>
      <c r="K1686" s="13"/>
      <c r="S1686" s="28"/>
    </row>
    <row r="1687">
      <c r="F1687" s="18"/>
      <c r="G1687" s="12"/>
      <c r="H1687" s="18"/>
      <c r="I1687" s="12"/>
      <c r="J1687" s="18"/>
      <c r="K1687" s="13"/>
      <c r="S1687" s="28"/>
    </row>
    <row r="1688">
      <c r="F1688" s="18"/>
      <c r="G1688" s="12"/>
      <c r="H1688" s="18"/>
      <c r="I1688" s="12"/>
      <c r="J1688" s="18"/>
      <c r="K1688" s="13"/>
      <c r="S1688" s="28"/>
    </row>
    <row r="1689">
      <c r="F1689" s="18"/>
      <c r="G1689" s="12"/>
      <c r="H1689" s="18"/>
      <c r="I1689" s="12"/>
      <c r="J1689" s="18"/>
      <c r="K1689" s="13"/>
      <c r="S1689" s="28"/>
    </row>
    <row r="1690">
      <c r="F1690" s="18"/>
      <c r="G1690" s="12"/>
      <c r="H1690" s="18"/>
      <c r="I1690" s="12"/>
      <c r="J1690" s="18"/>
      <c r="K1690" s="13"/>
      <c r="S1690" s="28"/>
    </row>
    <row r="1691">
      <c r="F1691" s="18"/>
      <c r="G1691" s="12"/>
      <c r="H1691" s="18"/>
      <c r="I1691" s="12"/>
      <c r="J1691" s="18"/>
      <c r="K1691" s="13"/>
      <c r="S1691" s="28"/>
    </row>
    <row r="1692">
      <c r="F1692" s="18"/>
      <c r="G1692" s="12"/>
      <c r="H1692" s="18"/>
      <c r="I1692" s="12"/>
      <c r="J1692" s="18"/>
      <c r="K1692" s="13"/>
      <c r="S1692" s="28"/>
    </row>
    <row r="1693">
      <c r="F1693" s="18"/>
      <c r="G1693" s="12"/>
      <c r="H1693" s="18"/>
      <c r="I1693" s="12"/>
      <c r="J1693" s="18"/>
      <c r="K1693" s="13"/>
      <c r="S1693" s="28"/>
    </row>
    <row r="1694">
      <c r="F1694" s="18"/>
      <c r="G1694" s="12"/>
      <c r="H1694" s="18"/>
      <c r="I1694" s="12"/>
      <c r="J1694" s="18"/>
      <c r="K1694" s="13"/>
      <c r="S1694" s="28"/>
    </row>
    <row r="1695">
      <c r="F1695" s="18"/>
      <c r="G1695" s="12"/>
      <c r="H1695" s="18"/>
      <c r="I1695" s="12"/>
      <c r="J1695" s="18"/>
      <c r="K1695" s="13"/>
      <c r="S1695" s="28"/>
    </row>
    <row r="1696">
      <c r="F1696" s="18"/>
      <c r="G1696" s="12"/>
      <c r="H1696" s="18"/>
      <c r="I1696" s="12"/>
      <c r="J1696" s="18"/>
      <c r="K1696" s="13"/>
      <c r="S1696" s="28"/>
    </row>
    <row r="1697">
      <c r="F1697" s="18"/>
      <c r="G1697" s="12"/>
      <c r="H1697" s="18"/>
      <c r="I1697" s="12"/>
      <c r="J1697" s="18"/>
      <c r="K1697" s="13"/>
      <c r="S1697" s="28"/>
    </row>
    <row r="1698">
      <c r="F1698" s="18"/>
      <c r="G1698" s="12"/>
      <c r="H1698" s="18"/>
      <c r="I1698" s="12"/>
      <c r="J1698" s="18"/>
      <c r="K1698" s="13"/>
      <c r="S1698" s="28"/>
    </row>
    <row r="1699">
      <c r="F1699" s="18"/>
      <c r="G1699" s="12"/>
      <c r="H1699" s="18"/>
      <c r="I1699" s="12"/>
      <c r="J1699" s="18"/>
      <c r="K1699" s="13"/>
      <c r="S1699" s="28"/>
    </row>
    <row r="1700">
      <c r="F1700" s="18"/>
      <c r="G1700" s="12"/>
      <c r="H1700" s="18"/>
      <c r="I1700" s="12"/>
      <c r="J1700" s="18"/>
      <c r="K1700" s="13"/>
      <c r="S1700" s="28"/>
    </row>
    <row r="1701">
      <c r="F1701" s="18"/>
      <c r="G1701" s="12"/>
      <c r="H1701" s="18"/>
      <c r="I1701" s="12"/>
      <c r="J1701" s="18"/>
      <c r="K1701" s="13"/>
      <c r="S1701" s="28"/>
    </row>
    <row r="1702">
      <c r="F1702" s="18"/>
      <c r="G1702" s="12"/>
      <c r="H1702" s="18"/>
      <c r="I1702" s="12"/>
      <c r="J1702" s="18"/>
      <c r="K1702" s="13"/>
      <c r="S1702" s="28"/>
    </row>
    <row r="1703">
      <c r="F1703" s="18"/>
      <c r="G1703" s="12"/>
      <c r="H1703" s="18"/>
      <c r="I1703" s="12"/>
      <c r="J1703" s="18"/>
      <c r="K1703" s="13"/>
      <c r="S1703" s="28"/>
    </row>
    <row r="1704">
      <c r="F1704" s="18"/>
      <c r="G1704" s="12"/>
      <c r="H1704" s="18"/>
      <c r="I1704" s="12"/>
      <c r="J1704" s="18"/>
      <c r="K1704" s="13"/>
      <c r="S1704" s="28"/>
    </row>
    <row r="1705">
      <c r="F1705" s="18"/>
      <c r="G1705" s="12"/>
      <c r="H1705" s="18"/>
      <c r="I1705" s="12"/>
      <c r="J1705" s="18"/>
      <c r="K1705" s="13"/>
      <c r="S1705" s="28"/>
    </row>
    <row r="1706">
      <c r="F1706" s="18"/>
      <c r="G1706" s="12"/>
      <c r="H1706" s="18"/>
      <c r="I1706" s="12"/>
      <c r="J1706" s="18"/>
      <c r="K1706" s="13"/>
      <c r="S1706" s="28"/>
    </row>
    <row r="1707">
      <c r="F1707" s="18"/>
      <c r="G1707" s="12"/>
      <c r="H1707" s="18"/>
      <c r="I1707" s="12"/>
      <c r="J1707" s="18"/>
      <c r="K1707" s="13"/>
      <c r="S1707" s="28"/>
    </row>
    <row r="1708">
      <c r="F1708" s="18"/>
      <c r="G1708" s="12"/>
      <c r="H1708" s="18"/>
      <c r="I1708" s="12"/>
      <c r="J1708" s="18"/>
      <c r="K1708" s="13"/>
      <c r="S1708" s="28"/>
    </row>
    <row r="1709">
      <c r="F1709" s="18"/>
      <c r="G1709" s="12"/>
      <c r="H1709" s="18"/>
      <c r="I1709" s="12"/>
      <c r="J1709" s="18"/>
      <c r="K1709" s="13"/>
      <c r="S1709" s="28"/>
    </row>
    <row r="1710">
      <c r="F1710" s="18"/>
      <c r="G1710" s="12"/>
      <c r="H1710" s="18"/>
      <c r="I1710" s="12"/>
      <c r="J1710" s="18"/>
      <c r="K1710" s="13"/>
      <c r="S1710" s="28"/>
    </row>
    <row r="1711">
      <c r="F1711" s="18"/>
      <c r="G1711" s="12"/>
      <c r="H1711" s="18"/>
      <c r="I1711" s="12"/>
      <c r="J1711" s="18"/>
      <c r="K1711" s="13"/>
      <c r="S1711" s="28"/>
    </row>
    <row r="1712">
      <c r="F1712" s="18"/>
      <c r="G1712" s="12"/>
      <c r="H1712" s="18"/>
      <c r="I1712" s="12"/>
      <c r="J1712" s="18"/>
      <c r="K1712" s="13"/>
      <c r="S1712" s="28"/>
    </row>
    <row r="1713">
      <c r="F1713" s="18"/>
      <c r="G1713" s="12"/>
      <c r="H1713" s="18"/>
      <c r="I1713" s="12"/>
      <c r="J1713" s="18"/>
      <c r="K1713" s="13"/>
      <c r="S1713" s="28"/>
    </row>
    <row r="1714">
      <c r="F1714" s="18"/>
      <c r="G1714" s="12"/>
      <c r="H1714" s="18"/>
      <c r="I1714" s="12"/>
      <c r="J1714" s="18"/>
      <c r="K1714" s="13"/>
      <c r="S1714" s="28"/>
    </row>
    <row r="1715">
      <c r="F1715" s="18"/>
      <c r="G1715" s="12"/>
      <c r="H1715" s="18"/>
      <c r="I1715" s="12"/>
      <c r="J1715" s="18"/>
      <c r="K1715" s="13"/>
      <c r="S1715" s="28"/>
    </row>
    <row r="1716">
      <c r="F1716" s="18"/>
      <c r="G1716" s="12"/>
      <c r="H1716" s="18"/>
      <c r="I1716" s="12"/>
      <c r="J1716" s="18"/>
      <c r="K1716" s="13"/>
      <c r="S1716" s="28"/>
    </row>
    <row r="1717">
      <c r="F1717" s="18"/>
      <c r="G1717" s="12"/>
      <c r="H1717" s="18"/>
      <c r="I1717" s="12"/>
      <c r="J1717" s="18"/>
      <c r="K1717" s="13"/>
      <c r="S1717" s="28"/>
    </row>
    <row r="1718">
      <c r="F1718" s="18"/>
      <c r="G1718" s="12"/>
      <c r="H1718" s="18"/>
      <c r="I1718" s="12"/>
      <c r="J1718" s="18"/>
      <c r="K1718" s="13"/>
      <c r="S1718" s="28"/>
    </row>
    <row r="1719">
      <c r="F1719" s="18"/>
      <c r="G1719" s="12"/>
      <c r="H1719" s="18"/>
      <c r="I1719" s="12"/>
      <c r="J1719" s="18"/>
      <c r="K1719" s="13"/>
      <c r="S1719" s="28"/>
    </row>
    <row r="1720">
      <c r="F1720" s="18"/>
      <c r="G1720" s="12"/>
      <c r="H1720" s="18"/>
      <c r="I1720" s="12"/>
      <c r="J1720" s="18"/>
      <c r="K1720" s="13"/>
      <c r="S1720" s="28"/>
    </row>
    <row r="1721">
      <c r="F1721" s="18"/>
      <c r="G1721" s="12"/>
      <c r="H1721" s="18"/>
      <c r="I1721" s="12"/>
      <c r="J1721" s="18"/>
      <c r="K1721" s="13"/>
      <c r="S1721" s="28"/>
    </row>
    <row r="1722">
      <c r="F1722" s="18"/>
      <c r="G1722" s="12"/>
      <c r="H1722" s="18"/>
      <c r="I1722" s="12"/>
      <c r="J1722" s="18"/>
      <c r="K1722" s="13"/>
      <c r="S1722" s="28"/>
    </row>
    <row r="1723">
      <c r="F1723" s="18"/>
      <c r="G1723" s="12"/>
      <c r="H1723" s="18"/>
      <c r="I1723" s="12"/>
      <c r="J1723" s="18"/>
      <c r="K1723" s="13"/>
      <c r="S1723" s="28"/>
    </row>
    <row r="1724">
      <c r="F1724" s="18"/>
      <c r="G1724" s="12"/>
      <c r="H1724" s="18"/>
      <c r="I1724" s="12"/>
      <c r="J1724" s="18"/>
      <c r="K1724" s="13"/>
      <c r="S1724" s="28"/>
    </row>
    <row r="1725">
      <c r="F1725" s="18"/>
      <c r="G1725" s="12"/>
      <c r="H1725" s="18"/>
      <c r="I1725" s="12"/>
      <c r="J1725" s="18"/>
      <c r="K1725" s="13"/>
      <c r="S1725" s="28"/>
    </row>
    <row r="1726">
      <c r="F1726" s="18"/>
      <c r="G1726" s="12"/>
      <c r="H1726" s="18"/>
      <c r="I1726" s="12"/>
      <c r="J1726" s="18"/>
      <c r="K1726" s="13"/>
      <c r="S1726" s="28"/>
    </row>
    <row r="1727">
      <c r="F1727" s="18"/>
      <c r="G1727" s="12"/>
      <c r="H1727" s="18"/>
      <c r="I1727" s="12"/>
      <c r="J1727" s="18"/>
      <c r="K1727" s="13"/>
      <c r="S1727" s="28"/>
    </row>
    <row r="1728">
      <c r="F1728" s="18"/>
      <c r="G1728" s="12"/>
      <c r="H1728" s="18"/>
      <c r="I1728" s="12"/>
      <c r="J1728" s="18"/>
      <c r="K1728" s="13"/>
      <c r="S1728" s="28"/>
    </row>
    <row r="1729">
      <c r="F1729" s="18"/>
      <c r="G1729" s="12"/>
      <c r="H1729" s="18"/>
      <c r="I1729" s="12"/>
      <c r="J1729" s="18"/>
      <c r="K1729" s="13"/>
      <c r="S1729" s="28"/>
    </row>
    <row r="1730">
      <c r="F1730" s="18"/>
      <c r="G1730" s="12"/>
      <c r="H1730" s="18"/>
      <c r="I1730" s="12"/>
      <c r="J1730" s="18"/>
      <c r="K1730" s="13"/>
      <c r="S1730" s="28"/>
    </row>
    <row r="1731">
      <c r="F1731" s="18"/>
      <c r="G1731" s="12"/>
      <c r="H1731" s="18"/>
      <c r="I1731" s="12"/>
      <c r="J1731" s="18"/>
      <c r="K1731" s="13"/>
      <c r="S1731" s="28"/>
    </row>
    <row r="1732">
      <c r="F1732" s="18"/>
      <c r="G1732" s="12"/>
      <c r="H1732" s="18"/>
      <c r="I1732" s="12"/>
      <c r="J1732" s="18"/>
      <c r="K1732" s="13"/>
      <c r="S1732" s="28"/>
    </row>
    <row r="1733">
      <c r="F1733" s="18"/>
      <c r="G1733" s="12"/>
      <c r="H1733" s="18"/>
      <c r="I1733" s="12"/>
      <c r="J1733" s="18"/>
      <c r="K1733" s="13"/>
      <c r="S1733" s="28"/>
    </row>
    <row r="1734">
      <c r="F1734" s="18"/>
      <c r="G1734" s="12"/>
      <c r="H1734" s="18"/>
      <c r="I1734" s="12"/>
      <c r="J1734" s="18"/>
      <c r="K1734" s="13"/>
      <c r="S1734" s="28"/>
    </row>
    <row r="1735">
      <c r="F1735" s="18"/>
      <c r="G1735" s="12"/>
      <c r="H1735" s="18"/>
      <c r="I1735" s="12"/>
      <c r="J1735" s="18"/>
      <c r="K1735" s="13"/>
      <c r="S1735" s="28"/>
    </row>
    <row r="1736">
      <c r="F1736" s="18"/>
      <c r="G1736" s="12"/>
      <c r="H1736" s="18"/>
      <c r="I1736" s="12"/>
      <c r="J1736" s="18"/>
      <c r="K1736" s="13"/>
      <c r="S1736" s="28"/>
    </row>
    <row r="1737">
      <c r="F1737" s="18"/>
      <c r="G1737" s="12"/>
      <c r="H1737" s="18"/>
      <c r="I1737" s="12"/>
      <c r="J1737" s="18"/>
      <c r="K1737" s="13"/>
      <c r="S1737" s="28"/>
    </row>
    <row r="1738">
      <c r="F1738" s="18"/>
      <c r="G1738" s="12"/>
      <c r="H1738" s="18"/>
      <c r="I1738" s="12"/>
      <c r="J1738" s="18"/>
      <c r="K1738" s="13"/>
      <c r="S1738" s="28"/>
    </row>
    <row r="1739">
      <c r="F1739" s="18"/>
      <c r="G1739" s="12"/>
      <c r="H1739" s="18"/>
      <c r="I1739" s="12"/>
      <c r="J1739" s="18"/>
      <c r="K1739" s="13"/>
      <c r="S1739" s="28"/>
    </row>
    <row r="1740">
      <c r="F1740" s="18"/>
      <c r="G1740" s="12"/>
      <c r="H1740" s="18"/>
      <c r="I1740" s="12"/>
      <c r="J1740" s="18"/>
      <c r="K1740" s="13"/>
      <c r="S1740" s="28"/>
    </row>
    <row r="1741">
      <c r="F1741" s="18"/>
      <c r="G1741" s="12"/>
      <c r="H1741" s="18"/>
      <c r="I1741" s="12"/>
      <c r="J1741" s="18"/>
      <c r="K1741" s="13"/>
      <c r="S1741" s="28"/>
    </row>
    <row r="1742">
      <c r="F1742" s="18"/>
      <c r="G1742" s="12"/>
      <c r="H1742" s="18"/>
      <c r="I1742" s="12"/>
      <c r="J1742" s="18"/>
      <c r="K1742" s="13"/>
      <c r="S1742" s="28"/>
    </row>
    <row r="1743">
      <c r="F1743" s="18"/>
      <c r="G1743" s="12"/>
      <c r="H1743" s="18"/>
      <c r="I1743" s="12"/>
      <c r="J1743" s="18"/>
      <c r="K1743" s="13"/>
      <c r="S1743" s="28"/>
    </row>
    <row r="1744">
      <c r="F1744" s="18"/>
      <c r="G1744" s="12"/>
      <c r="H1744" s="18"/>
      <c r="I1744" s="12"/>
      <c r="J1744" s="18"/>
      <c r="K1744" s="13"/>
      <c r="S1744" s="28"/>
    </row>
    <row r="1745">
      <c r="F1745" s="18"/>
      <c r="G1745" s="12"/>
      <c r="H1745" s="18"/>
      <c r="I1745" s="12"/>
      <c r="J1745" s="18"/>
      <c r="K1745" s="13"/>
      <c r="S1745" s="28"/>
    </row>
    <row r="1746">
      <c r="F1746" s="18"/>
      <c r="G1746" s="12"/>
      <c r="H1746" s="18"/>
      <c r="I1746" s="12"/>
      <c r="J1746" s="18"/>
      <c r="K1746" s="13"/>
      <c r="S1746" s="28"/>
    </row>
    <row r="1747">
      <c r="F1747" s="18"/>
      <c r="G1747" s="12"/>
      <c r="H1747" s="18"/>
      <c r="I1747" s="12"/>
      <c r="J1747" s="18"/>
      <c r="K1747" s="13"/>
      <c r="S1747" s="28"/>
    </row>
    <row r="1748">
      <c r="F1748" s="18"/>
      <c r="G1748" s="12"/>
      <c r="H1748" s="18"/>
      <c r="I1748" s="12"/>
      <c r="J1748" s="18"/>
      <c r="K1748" s="13"/>
      <c r="S1748" s="28"/>
    </row>
    <row r="1749">
      <c r="F1749" s="18"/>
      <c r="G1749" s="12"/>
      <c r="H1749" s="18"/>
      <c r="I1749" s="12"/>
      <c r="J1749" s="18"/>
      <c r="K1749" s="13"/>
      <c r="S1749" s="28"/>
    </row>
    <row r="1750">
      <c r="F1750" s="18"/>
      <c r="G1750" s="12"/>
      <c r="H1750" s="18"/>
      <c r="I1750" s="12"/>
      <c r="J1750" s="18"/>
      <c r="K1750" s="13"/>
      <c r="S1750" s="28"/>
    </row>
    <row r="1751">
      <c r="F1751" s="18"/>
      <c r="G1751" s="12"/>
      <c r="H1751" s="18"/>
      <c r="I1751" s="12"/>
      <c r="J1751" s="18"/>
      <c r="K1751" s="13"/>
      <c r="S1751" s="28"/>
    </row>
    <row r="1752">
      <c r="F1752" s="18"/>
      <c r="G1752" s="12"/>
      <c r="H1752" s="18"/>
      <c r="I1752" s="12"/>
      <c r="J1752" s="18"/>
      <c r="K1752" s="13"/>
      <c r="S1752" s="28"/>
    </row>
    <row r="1753">
      <c r="F1753" s="18"/>
      <c r="G1753" s="12"/>
      <c r="H1753" s="18"/>
      <c r="I1753" s="12"/>
      <c r="J1753" s="18"/>
      <c r="K1753" s="13"/>
      <c r="S1753" s="28"/>
    </row>
    <row r="1754">
      <c r="F1754" s="18"/>
      <c r="G1754" s="12"/>
      <c r="H1754" s="18"/>
      <c r="I1754" s="12"/>
      <c r="J1754" s="18"/>
      <c r="K1754" s="13"/>
      <c r="S1754" s="28"/>
    </row>
    <row r="1755">
      <c r="F1755" s="18"/>
      <c r="G1755" s="12"/>
      <c r="H1755" s="18"/>
      <c r="I1755" s="12"/>
      <c r="J1755" s="18"/>
      <c r="K1755" s="13"/>
      <c r="S1755" s="28"/>
    </row>
    <row r="1756">
      <c r="F1756" s="18"/>
      <c r="G1756" s="12"/>
      <c r="H1756" s="18"/>
      <c r="I1756" s="12"/>
      <c r="J1756" s="18"/>
      <c r="K1756" s="13"/>
      <c r="S1756" s="28"/>
    </row>
    <row r="1757">
      <c r="F1757" s="18"/>
      <c r="G1757" s="12"/>
      <c r="H1757" s="18"/>
      <c r="I1757" s="12"/>
      <c r="J1757" s="18"/>
      <c r="K1757" s="13"/>
      <c r="S1757" s="28"/>
    </row>
    <row r="1758">
      <c r="F1758" s="18"/>
      <c r="G1758" s="12"/>
      <c r="H1758" s="18"/>
      <c r="I1758" s="12"/>
      <c r="J1758" s="18"/>
      <c r="K1758" s="13"/>
      <c r="S1758" s="28"/>
    </row>
    <row r="1759">
      <c r="F1759" s="18"/>
      <c r="G1759" s="12"/>
      <c r="H1759" s="18"/>
      <c r="I1759" s="12"/>
      <c r="J1759" s="18"/>
      <c r="K1759" s="13"/>
      <c r="S1759" s="28"/>
    </row>
    <row r="1760">
      <c r="F1760" s="18"/>
      <c r="G1760" s="12"/>
      <c r="H1760" s="18"/>
      <c r="I1760" s="12"/>
      <c r="J1760" s="18"/>
      <c r="K1760" s="13"/>
      <c r="S1760" s="28"/>
    </row>
    <row r="1761">
      <c r="F1761" s="18"/>
      <c r="G1761" s="12"/>
      <c r="H1761" s="18"/>
      <c r="I1761" s="12"/>
      <c r="J1761" s="18"/>
      <c r="K1761" s="13"/>
      <c r="S1761" s="28"/>
    </row>
    <row r="1762">
      <c r="F1762" s="18"/>
      <c r="G1762" s="12"/>
      <c r="H1762" s="18"/>
      <c r="I1762" s="12"/>
      <c r="J1762" s="18"/>
      <c r="K1762" s="13"/>
      <c r="S1762" s="28"/>
    </row>
    <row r="1763">
      <c r="F1763" s="18"/>
      <c r="G1763" s="12"/>
      <c r="H1763" s="18"/>
      <c r="I1763" s="12"/>
      <c r="J1763" s="18"/>
      <c r="K1763" s="13"/>
      <c r="S1763" s="28"/>
    </row>
    <row r="1764">
      <c r="F1764" s="18"/>
      <c r="G1764" s="12"/>
      <c r="H1764" s="18"/>
      <c r="I1764" s="12"/>
      <c r="J1764" s="18"/>
      <c r="K1764" s="13"/>
      <c r="S1764" s="28"/>
    </row>
    <row r="1765">
      <c r="F1765" s="18"/>
      <c r="G1765" s="12"/>
      <c r="H1765" s="18"/>
      <c r="I1765" s="12"/>
      <c r="J1765" s="18"/>
      <c r="K1765" s="13"/>
      <c r="S1765" s="28"/>
    </row>
    <row r="1766">
      <c r="F1766" s="18"/>
      <c r="G1766" s="12"/>
      <c r="H1766" s="18"/>
      <c r="I1766" s="12"/>
      <c r="J1766" s="18"/>
      <c r="K1766" s="13"/>
      <c r="S1766" s="28"/>
    </row>
    <row r="1767">
      <c r="F1767" s="18"/>
      <c r="G1767" s="12"/>
      <c r="H1767" s="18"/>
      <c r="I1767" s="12"/>
      <c r="J1767" s="18"/>
      <c r="K1767" s="13"/>
      <c r="S1767" s="28"/>
    </row>
    <row r="1768">
      <c r="F1768" s="18"/>
      <c r="G1768" s="12"/>
      <c r="H1768" s="18"/>
      <c r="I1768" s="12"/>
      <c r="J1768" s="18"/>
      <c r="K1768" s="13"/>
      <c r="S1768" s="28"/>
    </row>
    <row r="1769">
      <c r="F1769" s="18"/>
      <c r="G1769" s="12"/>
      <c r="H1769" s="18"/>
      <c r="I1769" s="12"/>
      <c r="J1769" s="18"/>
      <c r="K1769" s="13"/>
      <c r="S1769" s="28"/>
    </row>
    <row r="1770">
      <c r="F1770" s="18"/>
      <c r="G1770" s="12"/>
      <c r="H1770" s="18"/>
      <c r="I1770" s="12"/>
      <c r="J1770" s="18"/>
      <c r="K1770" s="13"/>
      <c r="S1770" s="28"/>
    </row>
    <row r="1771">
      <c r="F1771" s="18"/>
      <c r="G1771" s="12"/>
      <c r="H1771" s="18"/>
      <c r="I1771" s="12"/>
      <c r="J1771" s="18"/>
      <c r="K1771" s="13"/>
      <c r="S1771" s="28"/>
    </row>
    <row r="1772">
      <c r="F1772" s="18"/>
      <c r="G1772" s="12"/>
      <c r="H1772" s="18"/>
      <c r="I1772" s="12"/>
      <c r="J1772" s="18"/>
      <c r="K1772" s="13"/>
      <c r="S1772" s="28"/>
    </row>
    <row r="1773">
      <c r="F1773" s="18"/>
      <c r="G1773" s="12"/>
      <c r="H1773" s="18"/>
      <c r="I1773" s="12"/>
      <c r="J1773" s="18"/>
      <c r="K1773" s="13"/>
      <c r="S1773" s="28"/>
    </row>
    <row r="1774">
      <c r="F1774" s="18"/>
      <c r="G1774" s="12"/>
      <c r="H1774" s="18"/>
      <c r="I1774" s="12"/>
      <c r="J1774" s="18"/>
      <c r="K1774" s="13"/>
      <c r="S1774" s="28"/>
    </row>
    <row r="1775">
      <c r="F1775" s="18"/>
      <c r="G1775" s="12"/>
      <c r="H1775" s="18"/>
      <c r="I1775" s="12"/>
      <c r="J1775" s="18"/>
      <c r="K1775" s="13"/>
      <c r="S1775" s="28"/>
    </row>
    <row r="1776">
      <c r="F1776" s="18"/>
      <c r="G1776" s="12"/>
      <c r="H1776" s="18"/>
      <c r="I1776" s="12"/>
      <c r="J1776" s="18"/>
      <c r="K1776" s="13"/>
      <c r="S1776" s="28"/>
    </row>
    <row r="1777">
      <c r="F1777" s="18"/>
      <c r="G1777" s="12"/>
      <c r="H1777" s="18"/>
      <c r="I1777" s="12"/>
      <c r="J1777" s="18"/>
      <c r="K1777" s="13"/>
      <c r="S1777" s="28"/>
    </row>
    <row r="1778">
      <c r="F1778" s="18"/>
      <c r="G1778" s="12"/>
      <c r="H1778" s="18"/>
      <c r="I1778" s="12"/>
      <c r="J1778" s="18"/>
      <c r="K1778" s="13"/>
      <c r="S1778" s="28"/>
    </row>
    <row r="1779">
      <c r="F1779" s="18"/>
      <c r="G1779" s="12"/>
      <c r="H1779" s="18"/>
      <c r="I1779" s="12"/>
      <c r="J1779" s="18"/>
      <c r="K1779" s="13"/>
      <c r="S1779" s="28"/>
    </row>
    <row r="1780">
      <c r="F1780" s="18"/>
      <c r="G1780" s="12"/>
      <c r="H1780" s="18"/>
      <c r="I1780" s="12"/>
      <c r="J1780" s="18"/>
      <c r="K1780" s="13"/>
      <c r="S1780" s="28"/>
    </row>
    <row r="1781">
      <c r="F1781" s="18"/>
      <c r="G1781" s="12"/>
      <c r="H1781" s="18"/>
      <c r="I1781" s="12"/>
      <c r="J1781" s="18"/>
      <c r="K1781" s="13"/>
      <c r="S1781" s="28"/>
    </row>
    <row r="1782">
      <c r="F1782" s="18"/>
      <c r="G1782" s="12"/>
      <c r="H1782" s="18"/>
      <c r="I1782" s="12"/>
      <c r="J1782" s="18"/>
      <c r="K1782" s="13"/>
      <c r="S1782" s="28"/>
    </row>
    <row r="1783">
      <c r="F1783" s="18"/>
      <c r="G1783" s="12"/>
      <c r="H1783" s="18"/>
      <c r="I1783" s="12"/>
      <c r="J1783" s="18"/>
      <c r="K1783" s="13"/>
      <c r="S1783" s="28"/>
    </row>
    <row r="1784">
      <c r="F1784" s="18"/>
      <c r="G1784" s="12"/>
      <c r="H1784" s="18"/>
      <c r="I1784" s="12"/>
      <c r="J1784" s="18"/>
      <c r="K1784" s="13"/>
      <c r="S1784" s="28"/>
    </row>
    <row r="1785">
      <c r="F1785" s="18"/>
      <c r="G1785" s="12"/>
      <c r="H1785" s="18"/>
      <c r="I1785" s="12"/>
      <c r="J1785" s="18"/>
      <c r="K1785" s="13"/>
      <c r="S1785" s="28"/>
    </row>
    <row r="1786">
      <c r="F1786" s="18"/>
      <c r="G1786" s="12"/>
      <c r="H1786" s="18"/>
      <c r="I1786" s="12"/>
      <c r="J1786" s="18"/>
      <c r="K1786" s="13"/>
      <c r="S1786" s="28"/>
    </row>
    <row r="1787">
      <c r="F1787" s="18"/>
      <c r="G1787" s="12"/>
      <c r="H1787" s="18"/>
      <c r="I1787" s="12"/>
      <c r="J1787" s="18"/>
      <c r="K1787" s="13"/>
      <c r="S1787" s="28"/>
    </row>
    <row r="1788">
      <c r="F1788" s="18"/>
      <c r="G1788" s="12"/>
      <c r="H1788" s="18"/>
      <c r="I1788" s="12"/>
      <c r="J1788" s="18"/>
      <c r="K1788" s="13"/>
      <c r="S1788" s="28"/>
    </row>
    <row r="1789">
      <c r="F1789" s="18"/>
      <c r="G1789" s="12"/>
      <c r="H1789" s="18"/>
      <c r="I1789" s="12"/>
      <c r="J1789" s="18"/>
      <c r="K1789" s="13"/>
      <c r="S1789" s="28"/>
    </row>
    <row r="1790">
      <c r="F1790" s="18"/>
      <c r="G1790" s="12"/>
      <c r="H1790" s="18"/>
      <c r="I1790" s="12"/>
      <c r="J1790" s="18"/>
      <c r="K1790" s="13"/>
      <c r="S1790" s="28"/>
    </row>
    <row r="1791">
      <c r="F1791" s="18"/>
      <c r="G1791" s="12"/>
      <c r="H1791" s="18"/>
      <c r="I1791" s="12"/>
      <c r="J1791" s="18"/>
      <c r="K1791" s="13"/>
      <c r="S1791" s="28"/>
    </row>
    <row r="1792">
      <c r="F1792" s="18"/>
      <c r="G1792" s="12"/>
      <c r="H1792" s="18"/>
      <c r="I1792" s="12"/>
      <c r="J1792" s="18"/>
      <c r="K1792" s="13"/>
      <c r="S1792" s="28"/>
    </row>
    <row r="1793">
      <c r="F1793" s="18"/>
      <c r="G1793" s="12"/>
      <c r="H1793" s="18"/>
      <c r="I1793" s="12"/>
      <c r="J1793" s="18"/>
      <c r="K1793" s="13"/>
      <c r="S1793" s="28"/>
    </row>
    <row r="1794">
      <c r="F1794" s="18"/>
      <c r="G1794" s="12"/>
      <c r="H1794" s="18"/>
      <c r="I1794" s="12"/>
      <c r="J1794" s="18"/>
      <c r="K1794" s="13"/>
      <c r="S1794" s="28"/>
    </row>
    <row r="1795">
      <c r="F1795" s="18"/>
      <c r="G1795" s="12"/>
      <c r="H1795" s="18"/>
      <c r="I1795" s="12"/>
      <c r="J1795" s="18"/>
      <c r="K1795" s="13"/>
      <c r="S1795" s="28"/>
    </row>
    <row r="1796">
      <c r="F1796" s="18"/>
      <c r="G1796" s="12"/>
      <c r="H1796" s="18"/>
      <c r="I1796" s="12"/>
      <c r="J1796" s="18"/>
      <c r="K1796" s="13"/>
      <c r="S1796" s="28"/>
    </row>
    <row r="1797">
      <c r="F1797" s="18"/>
      <c r="G1797" s="12"/>
      <c r="H1797" s="18"/>
      <c r="I1797" s="12"/>
      <c r="J1797" s="18"/>
      <c r="K1797" s="13"/>
      <c r="S1797" s="28"/>
    </row>
    <row r="1798">
      <c r="F1798" s="18"/>
      <c r="G1798" s="12"/>
      <c r="H1798" s="18"/>
      <c r="I1798" s="12"/>
      <c r="J1798" s="18"/>
      <c r="K1798" s="13"/>
      <c r="S1798" s="28"/>
    </row>
    <row r="1799">
      <c r="F1799" s="18"/>
      <c r="G1799" s="12"/>
      <c r="H1799" s="18"/>
      <c r="I1799" s="12"/>
      <c r="J1799" s="18"/>
      <c r="K1799" s="13"/>
      <c r="S1799" s="28"/>
    </row>
    <row r="1800">
      <c r="F1800" s="18"/>
      <c r="G1800" s="12"/>
      <c r="H1800" s="18"/>
      <c r="I1800" s="12"/>
      <c r="J1800" s="18"/>
      <c r="K1800" s="13"/>
      <c r="S1800" s="28"/>
    </row>
    <row r="1801">
      <c r="F1801" s="18"/>
      <c r="G1801" s="12"/>
      <c r="H1801" s="18"/>
      <c r="I1801" s="12"/>
      <c r="J1801" s="18"/>
      <c r="K1801" s="13"/>
      <c r="S1801" s="28"/>
    </row>
    <row r="1802">
      <c r="F1802" s="18"/>
      <c r="G1802" s="12"/>
      <c r="H1802" s="18"/>
      <c r="I1802" s="12"/>
      <c r="J1802" s="18"/>
      <c r="K1802" s="13"/>
      <c r="S1802" s="28"/>
    </row>
    <row r="1803">
      <c r="F1803" s="18"/>
      <c r="G1803" s="12"/>
      <c r="H1803" s="18"/>
      <c r="I1803" s="12"/>
      <c r="J1803" s="18"/>
      <c r="K1803" s="13"/>
      <c r="S1803" s="28"/>
    </row>
    <row r="1804">
      <c r="F1804" s="18"/>
      <c r="G1804" s="12"/>
      <c r="H1804" s="18"/>
      <c r="I1804" s="12"/>
      <c r="J1804" s="18"/>
      <c r="K1804" s="13"/>
      <c r="S1804" s="28"/>
    </row>
    <row r="1805">
      <c r="F1805" s="18"/>
      <c r="G1805" s="12"/>
      <c r="H1805" s="18"/>
      <c r="I1805" s="12"/>
      <c r="J1805" s="18"/>
      <c r="K1805" s="13"/>
      <c r="S1805" s="28"/>
    </row>
    <row r="1806">
      <c r="F1806" s="18"/>
      <c r="G1806" s="12"/>
      <c r="H1806" s="18"/>
      <c r="I1806" s="12"/>
      <c r="J1806" s="18"/>
      <c r="K1806" s="13"/>
      <c r="S1806" s="28"/>
    </row>
    <row r="1807">
      <c r="F1807" s="18"/>
      <c r="G1807" s="12"/>
      <c r="H1807" s="18"/>
      <c r="I1807" s="12"/>
      <c r="J1807" s="18"/>
      <c r="K1807" s="13"/>
      <c r="S1807" s="28"/>
    </row>
    <row r="1808">
      <c r="F1808" s="18"/>
      <c r="G1808" s="12"/>
      <c r="H1808" s="18"/>
      <c r="I1808" s="12"/>
      <c r="J1808" s="18"/>
      <c r="K1808" s="13"/>
      <c r="S1808" s="28"/>
    </row>
    <row r="1809">
      <c r="F1809" s="18"/>
      <c r="G1809" s="12"/>
      <c r="H1809" s="18"/>
      <c r="I1809" s="12"/>
      <c r="J1809" s="18"/>
      <c r="K1809" s="13"/>
      <c r="S1809" s="28"/>
    </row>
    <row r="1810">
      <c r="F1810" s="18"/>
      <c r="G1810" s="12"/>
      <c r="H1810" s="18"/>
      <c r="I1810" s="12"/>
      <c r="J1810" s="18"/>
      <c r="K1810" s="13"/>
      <c r="S1810" s="28"/>
    </row>
    <row r="1811">
      <c r="F1811" s="18"/>
      <c r="G1811" s="12"/>
      <c r="H1811" s="18"/>
      <c r="I1811" s="12"/>
      <c r="J1811" s="18"/>
      <c r="K1811" s="13"/>
      <c r="S1811" s="28"/>
    </row>
    <row r="1812">
      <c r="F1812" s="18"/>
      <c r="G1812" s="12"/>
      <c r="H1812" s="18"/>
      <c r="I1812" s="12"/>
      <c r="J1812" s="18"/>
      <c r="K1812" s="13"/>
      <c r="S1812" s="28"/>
    </row>
    <row r="1813">
      <c r="F1813" s="18"/>
      <c r="G1813" s="12"/>
      <c r="H1813" s="18"/>
      <c r="I1813" s="12"/>
      <c r="J1813" s="18"/>
      <c r="K1813" s="13"/>
      <c r="S1813" s="28"/>
    </row>
    <row r="1814">
      <c r="F1814" s="18"/>
      <c r="G1814" s="12"/>
      <c r="H1814" s="18"/>
      <c r="I1814" s="12"/>
      <c r="J1814" s="18"/>
      <c r="K1814" s="13"/>
      <c r="S1814" s="28"/>
    </row>
    <row r="1815">
      <c r="F1815" s="18"/>
      <c r="G1815" s="12"/>
      <c r="H1815" s="18"/>
      <c r="I1815" s="12"/>
      <c r="J1815" s="18"/>
      <c r="K1815" s="13"/>
      <c r="S1815" s="28"/>
    </row>
    <row r="1816">
      <c r="F1816" s="18"/>
      <c r="G1816" s="12"/>
      <c r="H1816" s="18"/>
      <c r="I1816" s="12"/>
      <c r="J1816" s="18"/>
      <c r="K1816" s="13"/>
      <c r="S1816" s="28"/>
    </row>
    <row r="1817">
      <c r="F1817" s="18"/>
      <c r="G1817" s="12"/>
      <c r="H1817" s="18"/>
      <c r="I1817" s="12"/>
      <c r="J1817" s="18"/>
      <c r="K1817" s="13"/>
      <c r="S1817" s="28"/>
    </row>
    <row r="1818">
      <c r="F1818" s="18"/>
      <c r="G1818" s="12"/>
      <c r="H1818" s="18"/>
      <c r="I1818" s="12"/>
      <c r="J1818" s="18"/>
      <c r="K1818" s="13"/>
      <c r="S1818" s="28"/>
    </row>
    <row r="1819">
      <c r="F1819" s="18"/>
      <c r="G1819" s="12"/>
      <c r="H1819" s="18"/>
      <c r="I1819" s="12"/>
      <c r="J1819" s="18"/>
      <c r="K1819" s="13"/>
      <c r="S1819" s="28"/>
    </row>
    <row r="1820">
      <c r="F1820" s="18"/>
      <c r="G1820" s="12"/>
      <c r="H1820" s="18"/>
      <c r="I1820" s="12"/>
      <c r="J1820" s="18"/>
      <c r="K1820" s="13"/>
      <c r="S1820" s="28"/>
    </row>
    <row r="1821">
      <c r="F1821" s="18"/>
      <c r="G1821" s="12"/>
      <c r="H1821" s="18"/>
      <c r="I1821" s="12"/>
      <c r="J1821" s="18"/>
      <c r="K1821" s="13"/>
      <c r="S1821" s="28"/>
    </row>
    <row r="1822">
      <c r="F1822" s="18"/>
      <c r="G1822" s="12"/>
      <c r="H1822" s="18"/>
      <c r="I1822" s="12"/>
      <c r="J1822" s="18"/>
      <c r="K1822" s="13"/>
      <c r="S1822" s="28"/>
    </row>
    <row r="1823">
      <c r="F1823" s="18"/>
      <c r="G1823" s="12"/>
      <c r="H1823" s="18"/>
      <c r="I1823" s="12"/>
      <c r="J1823" s="18"/>
      <c r="K1823" s="13"/>
      <c r="S1823" s="28"/>
    </row>
    <row r="1824">
      <c r="F1824" s="18"/>
      <c r="G1824" s="12"/>
      <c r="H1824" s="18"/>
      <c r="I1824" s="12"/>
      <c r="J1824" s="18"/>
      <c r="K1824" s="13"/>
      <c r="S1824" s="28"/>
    </row>
    <row r="1825">
      <c r="F1825" s="18"/>
      <c r="G1825" s="12"/>
      <c r="H1825" s="18"/>
      <c r="I1825" s="12"/>
      <c r="J1825" s="18"/>
      <c r="K1825" s="13"/>
      <c r="S1825" s="28"/>
    </row>
    <row r="1826">
      <c r="F1826" s="18"/>
      <c r="G1826" s="12"/>
      <c r="H1826" s="18"/>
      <c r="I1826" s="12"/>
      <c r="J1826" s="18"/>
      <c r="K1826" s="13"/>
      <c r="S1826" s="28"/>
    </row>
    <row r="1827">
      <c r="F1827" s="18"/>
      <c r="G1827" s="12"/>
      <c r="H1827" s="18"/>
      <c r="I1827" s="12"/>
      <c r="J1827" s="18"/>
      <c r="K1827" s="13"/>
      <c r="S1827" s="28"/>
    </row>
    <row r="1828">
      <c r="F1828" s="18"/>
      <c r="G1828" s="12"/>
      <c r="H1828" s="18"/>
      <c r="I1828" s="12"/>
      <c r="J1828" s="18"/>
      <c r="K1828" s="13"/>
      <c r="S1828" s="28"/>
    </row>
    <row r="1829">
      <c r="F1829" s="18"/>
      <c r="G1829" s="12"/>
      <c r="H1829" s="18"/>
      <c r="I1829" s="12"/>
      <c r="J1829" s="18"/>
      <c r="K1829" s="13"/>
      <c r="S1829" s="28"/>
    </row>
    <row r="1830">
      <c r="F1830" s="18"/>
      <c r="G1830" s="12"/>
      <c r="H1830" s="18"/>
      <c r="I1830" s="12"/>
      <c r="J1830" s="18"/>
      <c r="K1830" s="13"/>
      <c r="S1830" s="28"/>
    </row>
    <row r="1831">
      <c r="F1831" s="18"/>
      <c r="G1831" s="12"/>
      <c r="H1831" s="18"/>
      <c r="I1831" s="12"/>
      <c r="J1831" s="18"/>
      <c r="K1831" s="13"/>
      <c r="S1831" s="28"/>
    </row>
    <row r="1832">
      <c r="F1832" s="18"/>
      <c r="G1832" s="12"/>
      <c r="H1832" s="18"/>
      <c r="I1832" s="12"/>
      <c r="J1832" s="18"/>
      <c r="K1832" s="13"/>
      <c r="S1832" s="28"/>
    </row>
    <row r="1833">
      <c r="F1833" s="18"/>
      <c r="G1833" s="12"/>
      <c r="H1833" s="18"/>
      <c r="I1833" s="12"/>
      <c r="J1833" s="18"/>
      <c r="K1833" s="13"/>
      <c r="S1833" s="28"/>
    </row>
    <row r="1834">
      <c r="F1834" s="18"/>
      <c r="G1834" s="12"/>
      <c r="H1834" s="18"/>
      <c r="I1834" s="12"/>
      <c r="J1834" s="18"/>
      <c r="K1834" s="13"/>
      <c r="S1834" s="28"/>
    </row>
    <row r="1835">
      <c r="F1835" s="18"/>
      <c r="G1835" s="12"/>
      <c r="H1835" s="18"/>
      <c r="I1835" s="12"/>
      <c r="J1835" s="18"/>
      <c r="K1835" s="13"/>
      <c r="S1835" s="28"/>
    </row>
    <row r="1836">
      <c r="F1836" s="18"/>
      <c r="G1836" s="12"/>
      <c r="H1836" s="18"/>
      <c r="I1836" s="12"/>
      <c r="J1836" s="18"/>
      <c r="K1836" s="13"/>
      <c r="S1836" s="28"/>
    </row>
    <row r="1837">
      <c r="F1837" s="18"/>
      <c r="G1837" s="12"/>
      <c r="H1837" s="18"/>
      <c r="I1837" s="12"/>
      <c r="J1837" s="18"/>
      <c r="K1837" s="13"/>
      <c r="S1837" s="28"/>
    </row>
    <row r="1838">
      <c r="F1838" s="18"/>
      <c r="G1838" s="12"/>
      <c r="H1838" s="18"/>
      <c r="I1838" s="12"/>
      <c r="J1838" s="18"/>
      <c r="K1838" s="13"/>
      <c r="S1838" s="28"/>
    </row>
    <row r="1839">
      <c r="F1839" s="18"/>
      <c r="G1839" s="12"/>
      <c r="H1839" s="18"/>
      <c r="I1839" s="12"/>
      <c r="J1839" s="18"/>
      <c r="K1839" s="13"/>
      <c r="S1839" s="28"/>
    </row>
    <row r="1840">
      <c r="F1840" s="18"/>
      <c r="G1840" s="12"/>
      <c r="H1840" s="18"/>
      <c r="I1840" s="12"/>
      <c r="J1840" s="18"/>
      <c r="K1840" s="13"/>
      <c r="S1840" s="28"/>
    </row>
    <row r="1841">
      <c r="F1841" s="18"/>
      <c r="G1841" s="12"/>
      <c r="H1841" s="18"/>
      <c r="I1841" s="12"/>
      <c r="J1841" s="18"/>
      <c r="K1841" s="13"/>
      <c r="S1841" s="28"/>
    </row>
    <row r="1842">
      <c r="F1842" s="18"/>
      <c r="G1842" s="12"/>
      <c r="H1842" s="18"/>
      <c r="I1842" s="12"/>
      <c r="J1842" s="18"/>
      <c r="K1842" s="13"/>
      <c r="S1842" s="28"/>
    </row>
    <row r="1843">
      <c r="F1843" s="18"/>
      <c r="G1843" s="12"/>
      <c r="H1843" s="18"/>
      <c r="I1843" s="12"/>
      <c r="J1843" s="18"/>
      <c r="K1843" s="13"/>
      <c r="S1843" s="28"/>
    </row>
    <row r="1844">
      <c r="F1844" s="18"/>
      <c r="G1844" s="12"/>
      <c r="H1844" s="18"/>
      <c r="I1844" s="12"/>
      <c r="J1844" s="18"/>
      <c r="K1844" s="13"/>
      <c r="S1844" s="28"/>
    </row>
    <row r="1845">
      <c r="F1845" s="18"/>
      <c r="G1845" s="12"/>
      <c r="H1845" s="18"/>
      <c r="I1845" s="12"/>
      <c r="J1845" s="18"/>
      <c r="K1845" s="13"/>
      <c r="S1845" s="28"/>
    </row>
    <row r="1846">
      <c r="F1846" s="18"/>
      <c r="G1846" s="12"/>
      <c r="H1846" s="18"/>
      <c r="I1846" s="12"/>
      <c r="J1846" s="18"/>
      <c r="K1846" s="13"/>
      <c r="S1846" s="28"/>
    </row>
    <row r="1847">
      <c r="F1847" s="18"/>
      <c r="G1847" s="12"/>
      <c r="H1847" s="18"/>
      <c r="I1847" s="12"/>
      <c r="J1847" s="18"/>
      <c r="K1847" s="13"/>
      <c r="S1847" s="28"/>
    </row>
    <row r="1848">
      <c r="F1848" s="18"/>
      <c r="G1848" s="12"/>
      <c r="H1848" s="18"/>
      <c r="I1848" s="12"/>
      <c r="J1848" s="18"/>
      <c r="K1848" s="13"/>
      <c r="S1848" s="28"/>
    </row>
    <row r="1849">
      <c r="F1849" s="18"/>
      <c r="G1849" s="12"/>
      <c r="H1849" s="18"/>
      <c r="I1849" s="12"/>
      <c r="J1849" s="18"/>
      <c r="K1849" s="13"/>
      <c r="S1849" s="28"/>
    </row>
    <row r="1850">
      <c r="F1850" s="18"/>
      <c r="G1850" s="12"/>
      <c r="H1850" s="18"/>
      <c r="I1850" s="12"/>
      <c r="J1850" s="18"/>
      <c r="K1850" s="13"/>
      <c r="S1850" s="28"/>
    </row>
    <row r="1851">
      <c r="F1851" s="18"/>
      <c r="G1851" s="12"/>
      <c r="H1851" s="18"/>
      <c r="I1851" s="12"/>
      <c r="J1851" s="18"/>
      <c r="K1851" s="13"/>
      <c r="S1851" s="28"/>
    </row>
    <row r="1852">
      <c r="F1852" s="18"/>
      <c r="G1852" s="12"/>
      <c r="H1852" s="18"/>
      <c r="I1852" s="12"/>
      <c r="J1852" s="18"/>
      <c r="K1852" s="13"/>
      <c r="S1852" s="28"/>
    </row>
    <row r="1853">
      <c r="F1853" s="18"/>
      <c r="G1853" s="12"/>
      <c r="H1853" s="18"/>
      <c r="I1853" s="12"/>
      <c r="J1853" s="18"/>
      <c r="K1853" s="13"/>
      <c r="S1853" s="28"/>
    </row>
    <row r="1854">
      <c r="F1854" s="18"/>
      <c r="G1854" s="12"/>
      <c r="H1854" s="18"/>
      <c r="I1854" s="12"/>
      <c r="J1854" s="18"/>
      <c r="K1854" s="13"/>
      <c r="S1854" s="28"/>
    </row>
    <row r="1855">
      <c r="F1855" s="18"/>
      <c r="G1855" s="12"/>
      <c r="H1855" s="18"/>
      <c r="I1855" s="12"/>
      <c r="J1855" s="18"/>
      <c r="K1855" s="13"/>
      <c r="S1855" s="28"/>
    </row>
    <row r="1856">
      <c r="F1856" s="18"/>
      <c r="G1856" s="12"/>
      <c r="H1856" s="18"/>
      <c r="I1856" s="12"/>
      <c r="J1856" s="18"/>
      <c r="K1856" s="13"/>
      <c r="S1856" s="28"/>
    </row>
    <row r="1857">
      <c r="F1857" s="18"/>
      <c r="G1857" s="12"/>
      <c r="H1857" s="18"/>
      <c r="I1857" s="12"/>
      <c r="J1857" s="18"/>
      <c r="K1857" s="13"/>
      <c r="S1857" s="28"/>
    </row>
    <row r="1858">
      <c r="F1858" s="18"/>
      <c r="G1858" s="12"/>
      <c r="H1858" s="18"/>
      <c r="I1858" s="12"/>
      <c r="J1858" s="18"/>
      <c r="K1858" s="13"/>
      <c r="S1858" s="28"/>
    </row>
    <row r="1859">
      <c r="F1859" s="18"/>
      <c r="G1859" s="12"/>
      <c r="H1859" s="18"/>
      <c r="I1859" s="12"/>
      <c r="J1859" s="18"/>
      <c r="K1859" s="13"/>
      <c r="S1859" s="28"/>
    </row>
    <row r="1860">
      <c r="F1860" s="18"/>
      <c r="G1860" s="12"/>
      <c r="H1860" s="18"/>
      <c r="I1860" s="12"/>
      <c r="J1860" s="18"/>
      <c r="K1860" s="13"/>
      <c r="S1860" s="28"/>
    </row>
    <row r="1861">
      <c r="F1861" s="18"/>
      <c r="G1861" s="12"/>
      <c r="H1861" s="18"/>
      <c r="I1861" s="12"/>
      <c r="J1861" s="18"/>
      <c r="K1861" s="13"/>
      <c r="S1861" s="28"/>
    </row>
    <row r="1862">
      <c r="F1862" s="18"/>
      <c r="G1862" s="12"/>
      <c r="H1862" s="18"/>
      <c r="I1862" s="12"/>
      <c r="J1862" s="18"/>
      <c r="K1862" s="13"/>
      <c r="S1862" s="28"/>
    </row>
    <row r="1863">
      <c r="F1863" s="18"/>
      <c r="G1863" s="12"/>
      <c r="H1863" s="18"/>
      <c r="I1863" s="12"/>
      <c r="J1863" s="18"/>
      <c r="K1863" s="13"/>
      <c r="S1863" s="28"/>
    </row>
    <row r="1864">
      <c r="F1864" s="18"/>
      <c r="G1864" s="12"/>
      <c r="H1864" s="18"/>
      <c r="I1864" s="12"/>
      <c r="J1864" s="18"/>
      <c r="K1864" s="13"/>
      <c r="S1864" s="28"/>
    </row>
    <row r="1865">
      <c r="F1865" s="18"/>
      <c r="G1865" s="12"/>
      <c r="H1865" s="18"/>
      <c r="I1865" s="12"/>
      <c r="J1865" s="18"/>
      <c r="K1865" s="13"/>
      <c r="S1865" s="28"/>
    </row>
    <row r="1866">
      <c r="F1866" s="18"/>
      <c r="G1866" s="12"/>
      <c r="H1866" s="18"/>
      <c r="I1866" s="12"/>
      <c r="J1866" s="18"/>
      <c r="K1866" s="13"/>
      <c r="S1866" s="28"/>
    </row>
    <row r="1867">
      <c r="F1867" s="18"/>
      <c r="G1867" s="12"/>
      <c r="H1867" s="18"/>
      <c r="I1867" s="12"/>
      <c r="J1867" s="18"/>
      <c r="K1867" s="13"/>
      <c r="S1867" s="28"/>
    </row>
    <row r="1868">
      <c r="F1868" s="18"/>
      <c r="G1868" s="12"/>
      <c r="H1868" s="18"/>
      <c r="I1868" s="12"/>
      <c r="J1868" s="18"/>
      <c r="K1868" s="13"/>
      <c r="S1868" s="28"/>
    </row>
    <row r="1869">
      <c r="F1869" s="18"/>
      <c r="G1869" s="12"/>
      <c r="H1869" s="18"/>
      <c r="I1869" s="12"/>
      <c r="J1869" s="18"/>
      <c r="K1869" s="13"/>
      <c r="S1869" s="28"/>
    </row>
    <row r="1870">
      <c r="F1870" s="18"/>
      <c r="G1870" s="12"/>
      <c r="H1870" s="18"/>
      <c r="I1870" s="12"/>
      <c r="J1870" s="18"/>
      <c r="K1870" s="13"/>
      <c r="S1870" s="28"/>
    </row>
    <row r="1871">
      <c r="F1871" s="18"/>
      <c r="G1871" s="12"/>
      <c r="H1871" s="18"/>
      <c r="I1871" s="12"/>
      <c r="J1871" s="18"/>
      <c r="K1871" s="13"/>
      <c r="S1871" s="28"/>
    </row>
    <row r="1872">
      <c r="F1872" s="18"/>
      <c r="G1872" s="12"/>
      <c r="H1872" s="18"/>
      <c r="I1872" s="12"/>
      <c r="J1872" s="18"/>
      <c r="K1872" s="13"/>
      <c r="S1872" s="28"/>
    </row>
    <row r="1873">
      <c r="F1873" s="18"/>
      <c r="G1873" s="12"/>
      <c r="H1873" s="18"/>
      <c r="I1873" s="12"/>
      <c r="J1873" s="18"/>
      <c r="K1873" s="13"/>
      <c r="S1873" s="28"/>
    </row>
    <row r="1874">
      <c r="F1874" s="18"/>
      <c r="G1874" s="12"/>
      <c r="H1874" s="18"/>
      <c r="I1874" s="12"/>
      <c r="J1874" s="18"/>
      <c r="K1874" s="13"/>
      <c r="S1874" s="28"/>
    </row>
    <row r="1875">
      <c r="F1875" s="18"/>
      <c r="G1875" s="12"/>
      <c r="H1875" s="18"/>
      <c r="I1875" s="12"/>
      <c r="J1875" s="18"/>
      <c r="K1875" s="13"/>
      <c r="S1875" s="28"/>
    </row>
    <row r="1876">
      <c r="F1876" s="18"/>
      <c r="G1876" s="12"/>
      <c r="H1876" s="18"/>
      <c r="I1876" s="12"/>
      <c r="J1876" s="18"/>
      <c r="K1876" s="13"/>
      <c r="S1876" s="28"/>
    </row>
    <row r="1877">
      <c r="F1877" s="18"/>
      <c r="G1877" s="12"/>
      <c r="H1877" s="18"/>
      <c r="I1877" s="12"/>
      <c r="J1877" s="18"/>
      <c r="K1877" s="13"/>
      <c r="S1877" s="28"/>
    </row>
    <row r="1878">
      <c r="F1878" s="18"/>
      <c r="G1878" s="12"/>
      <c r="H1878" s="18"/>
      <c r="I1878" s="12"/>
      <c r="J1878" s="18"/>
      <c r="K1878" s="13"/>
      <c r="S1878" s="28"/>
    </row>
    <row r="1879">
      <c r="F1879" s="18"/>
      <c r="G1879" s="12"/>
      <c r="H1879" s="18"/>
      <c r="I1879" s="12"/>
      <c r="J1879" s="18"/>
      <c r="K1879" s="13"/>
      <c r="S1879" s="28"/>
    </row>
    <row r="1880">
      <c r="F1880" s="18"/>
      <c r="G1880" s="12"/>
      <c r="H1880" s="18"/>
      <c r="I1880" s="12"/>
      <c r="J1880" s="18"/>
      <c r="K1880" s="13"/>
      <c r="S1880" s="28"/>
    </row>
    <row r="1881">
      <c r="F1881" s="18"/>
      <c r="G1881" s="12"/>
      <c r="H1881" s="18"/>
      <c r="I1881" s="12"/>
      <c r="J1881" s="18"/>
      <c r="K1881" s="13"/>
      <c r="S1881" s="28"/>
    </row>
    <row r="1882">
      <c r="F1882" s="18"/>
      <c r="G1882" s="12"/>
      <c r="H1882" s="18"/>
      <c r="I1882" s="12"/>
      <c r="J1882" s="18"/>
      <c r="K1882" s="13"/>
      <c r="S1882" s="28"/>
    </row>
    <row r="1883">
      <c r="F1883" s="18"/>
      <c r="G1883" s="12"/>
      <c r="H1883" s="18"/>
      <c r="I1883" s="12"/>
      <c r="J1883" s="18"/>
      <c r="K1883" s="13"/>
      <c r="S1883" s="28"/>
    </row>
    <row r="1884">
      <c r="F1884" s="18"/>
      <c r="G1884" s="12"/>
      <c r="H1884" s="18"/>
      <c r="I1884" s="12"/>
      <c r="J1884" s="18"/>
      <c r="K1884" s="13"/>
      <c r="S1884" s="28"/>
    </row>
    <row r="1885">
      <c r="F1885" s="18"/>
      <c r="G1885" s="12"/>
      <c r="H1885" s="18"/>
      <c r="I1885" s="12"/>
      <c r="J1885" s="18"/>
      <c r="K1885" s="13"/>
      <c r="S1885" s="28"/>
    </row>
    <row r="1886">
      <c r="F1886" s="18"/>
      <c r="G1886" s="12"/>
      <c r="H1886" s="18"/>
      <c r="I1886" s="12"/>
      <c r="J1886" s="18"/>
      <c r="K1886" s="13"/>
      <c r="S1886" s="28"/>
    </row>
    <row r="1887">
      <c r="F1887" s="18"/>
      <c r="G1887" s="12"/>
      <c r="H1887" s="18"/>
      <c r="I1887" s="12"/>
      <c r="J1887" s="18"/>
      <c r="K1887" s="13"/>
      <c r="S1887" s="28"/>
    </row>
    <row r="1888">
      <c r="F1888" s="18"/>
      <c r="G1888" s="12"/>
      <c r="H1888" s="18"/>
      <c r="I1888" s="12"/>
      <c r="J1888" s="18"/>
      <c r="K1888" s="13"/>
      <c r="S1888" s="28"/>
    </row>
    <row r="1889">
      <c r="F1889" s="18"/>
      <c r="G1889" s="12"/>
      <c r="H1889" s="18"/>
      <c r="I1889" s="12"/>
      <c r="J1889" s="18"/>
      <c r="K1889" s="13"/>
      <c r="S1889" s="28"/>
    </row>
    <row r="1890">
      <c r="F1890" s="18"/>
      <c r="G1890" s="12"/>
      <c r="H1890" s="18"/>
      <c r="I1890" s="12"/>
      <c r="J1890" s="18"/>
      <c r="K1890" s="13"/>
      <c r="S1890" s="28"/>
    </row>
    <row r="1891">
      <c r="F1891" s="18"/>
      <c r="G1891" s="12"/>
      <c r="H1891" s="18"/>
      <c r="I1891" s="12"/>
      <c r="J1891" s="18"/>
      <c r="K1891" s="13"/>
      <c r="S1891" s="28"/>
    </row>
    <row r="1892">
      <c r="F1892" s="18"/>
      <c r="G1892" s="12"/>
      <c r="H1892" s="18"/>
      <c r="I1892" s="12"/>
      <c r="J1892" s="18"/>
      <c r="K1892" s="13"/>
      <c r="S1892" s="28"/>
    </row>
    <row r="1893">
      <c r="F1893" s="18"/>
      <c r="G1893" s="12"/>
      <c r="H1893" s="18"/>
      <c r="I1893" s="12"/>
      <c r="J1893" s="18"/>
      <c r="K1893" s="13"/>
      <c r="S1893" s="28"/>
    </row>
    <row r="1894">
      <c r="F1894" s="18"/>
      <c r="G1894" s="12"/>
      <c r="H1894" s="18"/>
      <c r="I1894" s="12"/>
      <c r="J1894" s="18"/>
      <c r="K1894" s="13"/>
      <c r="S1894" s="28"/>
    </row>
    <row r="1895">
      <c r="F1895" s="18"/>
      <c r="G1895" s="12"/>
      <c r="H1895" s="18"/>
      <c r="I1895" s="12"/>
      <c r="J1895" s="18"/>
      <c r="K1895" s="13"/>
      <c r="S1895" s="28"/>
    </row>
    <row r="1896">
      <c r="F1896" s="18"/>
      <c r="G1896" s="12"/>
      <c r="H1896" s="18"/>
      <c r="I1896" s="12"/>
      <c r="J1896" s="18"/>
      <c r="K1896" s="13"/>
      <c r="S1896" s="28"/>
    </row>
    <row r="1897">
      <c r="F1897" s="18"/>
      <c r="G1897" s="12"/>
      <c r="H1897" s="18"/>
      <c r="I1897" s="12"/>
      <c r="J1897" s="18"/>
      <c r="K1897" s="13"/>
      <c r="S1897" s="28"/>
    </row>
    <row r="1898">
      <c r="F1898" s="18"/>
      <c r="G1898" s="12"/>
      <c r="H1898" s="18"/>
      <c r="I1898" s="12"/>
      <c r="J1898" s="18"/>
      <c r="K1898" s="13"/>
      <c r="S1898" s="28"/>
    </row>
    <row r="1899">
      <c r="F1899" s="18"/>
      <c r="G1899" s="12"/>
      <c r="H1899" s="18"/>
      <c r="I1899" s="12"/>
      <c r="J1899" s="18"/>
      <c r="K1899" s="13"/>
      <c r="S1899" s="28"/>
    </row>
    <row r="1900">
      <c r="F1900" s="18"/>
      <c r="G1900" s="12"/>
      <c r="H1900" s="18"/>
      <c r="I1900" s="12"/>
      <c r="J1900" s="18"/>
      <c r="K1900" s="13"/>
      <c r="S1900" s="28"/>
    </row>
    <row r="1901">
      <c r="F1901" s="18"/>
      <c r="G1901" s="12"/>
      <c r="H1901" s="18"/>
      <c r="I1901" s="12"/>
      <c r="J1901" s="18"/>
      <c r="K1901" s="13"/>
      <c r="S1901" s="28"/>
    </row>
    <row r="1902">
      <c r="F1902" s="18"/>
      <c r="G1902" s="12"/>
      <c r="H1902" s="18"/>
      <c r="I1902" s="12"/>
      <c r="J1902" s="18"/>
      <c r="K1902" s="13"/>
      <c r="S1902" s="28"/>
    </row>
    <row r="1903">
      <c r="F1903" s="18"/>
      <c r="G1903" s="12"/>
      <c r="H1903" s="18"/>
      <c r="I1903" s="12"/>
      <c r="J1903" s="18"/>
      <c r="K1903" s="13"/>
      <c r="S1903" s="28"/>
    </row>
    <row r="1904">
      <c r="F1904" s="18"/>
      <c r="G1904" s="12"/>
      <c r="H1904" s="18"/>
      <c r="I1904" s="12"/>
      <c r="J1904" s="18"/>
      <c r="K1904" s="13"/>
      <c r="S1904" s="28"/>
    </row>
    <row r="1905">
      <c r="F1905" s="18"/>
      <c r="G1905" s="12"/>
      <c r="H1905" s="18"/>
      <c r="I1905" s="12"/>
      <c r="J1905" s="18"/>
      <c r="K1905" s="13"/>
      <c r="S1905" s="28"/>
    </row>
    <row r="1906">
      <c r="F1906" s="18"/>
      <c r="G1906" s="12"/>
      <c r="H1906" s="18"/>
      <c r="I1906" s="12"/>
      <c r="J1906" s="18"/>
      <c r="K1906" s="13"/>
      <c r="S1906" s="28"/>
    </row>
    <row r="1907">
      <c r="F1907" s="18"/>
      <c r="G1907" s="12"/>
      <c r="H1907" s="18"/>
      <c r="I1907" s="12"/>
      <c r="J1907" s="18"/>
      <c r="K1907" s="13"/>
      <c r="S1907" s="28"/>
    </row>
    <row r="1908">
      <c r="F1908" s="18"/>
      <c r="G1908" s="12"/>
      <c r="H1908" s="18"/>
      <c r="I1908" s="12"/>
      <c r="J1908" s="18"/>
      <c r="K1908" s="13"/>
      <c r="S1908" s="28"/>
    </row>
    <row r="1909">
      <c r="F1909" s="18"/>
      <c r="G1909" s="12"/>
      <c r="H1909" s="18"/>
      <c r="I1909" s="12"/>
      <c r="J1909" s="18"/>
      <c r="K1909" s="13"/>
      <c r="S1909" s="28"/>
    </row>
    <row r="1910">
      <c r="F1910" s="18"/>
      <c r="G1910" s="12"/>
      <c r="H1910" s="18"/>
      <c r="I1910" s="12"/>
      <c r="J1910" s="18"/>
      <c r="K1910" s="13"/>
      <c r="S1910" s="28"/>
    </row>
    <row r="1911">
      <c r="F1911" s="18"/>
      <c r="G1911" s="12"/>
      <c r="H1911" s="18"/>
      <c r="I1911" s="12"/>
      <c r="J1911" s="18"/>
      <c r="K1911" s="13"/>
      <c r="S1911" s="28"/>
    </row>
    <row r="1912">
      <c r="F1912" s="18"/>
      <c r="G1912" s="12"/>
      <c r="H1912" s="18"/>
      <c r="I1912" s="12"/>
      <c r="J1912" s="18"/>
      <c r="K1912" s="13"/>
      <c r="S1912" s="28"/>
    </row>
    <row r="1913">
      <c r="F1913" s="18"/>
      <c r="G1913" s="12"/>
      <c r="H1913" s="18"/>
      <c r="I1913" s="12"/>
      <c r="J1913" s="18"/>
      <c r="K1913" s="13"/>
      <c r="S1913" s="28"/>
    </row>
    <row r="1914">
      <c r="F1914" s="18"/>
      <c r="G1914" s="12"/>
      <c r="H1914" s="18"/>
      <c r="I1914" s="12"/>
      <c r="J1914" s="18"/>
      <c r="K1914" s="13"/>
      <c r="S1914" s="28"/>
    </row>
    <row r="1915">
      <c r="F1915" s="18"/>
      <c r="G1915" s="12"/>
      <c r="H1915" s="18"/>
      <c r="I1915" s="12"/>
      <c r="J1915" s="18"/>
      <c r="K1915" s="13"/>
      <c r="S1915" s="28"/>
    </row>
    <row r="1916">
      <c r="F1916" s="18"/>
      <c r="G1916" s="12"/>
      <c r="H1916" s="18"/>
      <c r="I1916" s="12"/>
      <c r="J1916" s="18"/>
      <c r="K1916" s="13"/>
      <c r="S1916" s="28"/>
    </row>
    <row r="1917">
      <c r="F1917" s="18"/>
      <c r="G1917" s="12"/>
      <c r="H1917" s="18"/>
      <c r="I1917" s="12"/>
      <c r="J1917" s="18"/>
      <c r="K1917" s="13"/>
      <c r="S1917" s="28"/>
    </row>
    <row r="1918">
      <c r="F1918" s="18"/>
      <c r="G1918" s="12"/>
      <c r="H1918" s="18"/>
      <c r="I1918" s="12"/>
      <c r="J1918" s="18"/>
      <c r="K1918" s="13"/>
      <c r="S1918" s="28"/>
    </row>
    <row r="1919">
      <c r="F1919" s="18"/>
      <c r="G1919" s="12"/>
      <c r="H1919" s="18"/>
      <c r="I1919" s="12"/>
      <c r="J1919" s="18"/>
      <c r="K1919" s="13"/>
      <c r="S1919" s="28"/>
    </row>
    <row r="1920">
      <c r="F1920" s="18"/>
      <c r="G1920" s="12"/>
      <c r="H1920" s="18"/>
      <c r="I1920" s="12"/>
      <c r="J1920" s="18"/>
      <c r="K1920" s="13"/>
      <c r="S1920" s="28"/>
    </row>
    <row r="1921">
      <c r="F1921" s="18"/>
      <c r="G1921" s="12"/>
      <c r="H1921" s="18"/>
      <c r="I1921" s="12"/>
      <c r="J1921" s="18"/>
      <c r="K1921" s="13"/>
      <c r="S1921" s="28"/>
    </row>
    <row r="1922">
      <c r="F1922" s="18"/>
      <c r="G1922" s="12"/>
      <c r="H1922" s="18"/>
      <c r="I1922" s="12"/>
      <c r="J1922" s="18"/>
      <c r="K1922" s="13"/>
      <c r="S1922" s="28"/>
    </row>
    <row r="1923">
      <c r="F1923" s="18"/>
      <c r="G1923" s="12"/>
      <c r="H1923" s="18"/>
      <c r="I1923" s="12"/>
      <c r="J1923" s="18"/>
      <c r="K1923" s="13"/>
      <c r="S1923" s="28"/>
    </row>
    <row r="1924">
      <c r="F1924" s="18"/>
      <c r="G1924" s="12"/>
      <c r="H1924" s="18"/>
      <c r="I1924" s="12"/>
      <c r="J1924" s="18"/>
      <c r="K1924" s="13"/>
      <c r="S1924" s="28"/>
    </row>
    <row r="1925">
      <c r="F1925" s="18"/>
      <c r="G1925" s="12"/>
      <c r="H1925" s="18"/>
      <c r="I1925" s="12"/>
      <c r="J1925" s="18"/>
      <c r="K1925" s="13"/>
      <c r="S1925" s="28"/>
    </row>
    <row r="1926">
      <c r="F1926" s="18"/>
      <c r="G1926" s="12"/>
      <c r="H1926" s="18"/>
      <c r="I1926" s="12"/>
      <c r="J1926" s="18"/>
      <c r="K1926" s="13"/>
      <c r="S1926" s="28"/>
    </row>
    <row r="1927">
      <c r="F1927" s="18"/>
      <c r="G1927" s="12"/>
      <c r="H1927" s="18"/>
      <c r="I1927" s="12"/>
      <c r="J1927" s="18"/>
      <c r="K1927" s="13"/>
      <c r="S1927" s="28"/>
    </row>
    <row r="1928">
      <c r="F1928" s="18"/>
      <c r="G1928" s="12"/>
      <c r="H1928" s="18"/>
      <c r="I1928" s="12"/>
      <c r="J1928" s="18"/>
      <c r="K1928" s="13"/>
      <c r="S1928" s="28"/>
    </row>
    <row r="1929">
      <c r="F1929" s="18"/>
      <c r="G1929" s="12"/>
      <c r="H1929" s="18"/>
      <c r="I1929" s="12"/>
      <c r="J1929" s="18"/>
      <c r="K1929" s="13"/>
      <c r="S1929" s="28"/>
    </row>
    <row r="1930">
      <c r="F1930" s="18"/>
      <c r="G1930" s="12"/>
      <c r="H1930" s="18"/>
      <c r="I1930" s="12"/>
      <c r="J1930" s="18"/>
      <c r="K1930" s="13"/>
      <c r="S1930" s="28"/>
    </row>
    <row r="1931">
      <c r="F1931" s="18"/>
      <c r="G1931" s="12"/>
      <c r="H1931" s="18"/>
      <c r="I1931" s="12"/>
      <c r="J1931" s="18"/>
      <c r="K1931" s="13"/>
      <c r="S1931" s="28"/>
    </row>
    <row r="1932">
      <c r="F1932" s="18"/>
      <c r="G1932" s="12"/>
      <c r="H1932" s="18"/>
      <c r="I1932" s="12"/>
      <c r="J1932" s="18"/>
      <c r="K1932" s="13"/>
      <c r="S1932" s="28"/>
    </row>
    <row r="1933">
      <c r="F1933" s="18"/>
      <c r="G1933" s="12"/>
      <c r="H1933" s="18"/>
      <c r="I1933" s="12"/>
      <c r="J1933" s="18"/>
      <c r="K1933" s="13"/>
      <c r="S1933" s="28"/>
    </row>
    <row r="1934">
      <c r="F1934" s="18"/>
      <c r="G1934" s="12"/>
      <c r="H1934" s="18"/>
      <c r="I1934" s="12"/>
      <c r="J1934" s="18"/>
      <c r="K1934" s="13"/>
      <c r="S1934" s="28"/>
    </row>
    <row r="1935">
      <c r="F1935" s="18"/>
      <c r="G1935" s="12"/>
      <c r="H1935" s="18"/>
      <c r="I1935" s="12"/>
      <c r="J1935" s="18"/>
      <c r="K1935" s="13"/>
      <c r="S1935" s="28"/>
    </row>
    <row r="1936">
      <c r="F1936" s="18"/>
      <c r="G1936" s="12"/>
      <c r="H1936" s="18"/>
      <c r="I1936" s="12"/>
      <c r="J1936" s="18"/>
      <c r="K1936" s="13"/>
      <c r="S1936" s="28"/>
    </row>
    <row r="1937">
      <c r="F1937" s="18"/>
      <c r="G1937" s="12"/>
      <c r="H1937" s="18"/>
      <c r="I1937" s="12"/>
      <c r="J1937" s="18"/>
      <c r="K1937" s="13"/>
      <c r="S1937" s="28"/>
    </row>
    <row r="1938">
      <c r="F1938" s="18"/>
      <c r="G1938" s="12"/>
      <c r="H1938" s="18"/>
      <c r="I1938" s="12"/>
      <c r="J1938" s="18"/>
      <c r="K1938" s="13"/>
      <c r="S1938" s="28"/>
    </row>
    <row r="1939">
      <c r="F1939" s="18"/>
      <c r="G1939" s="12"/>
      <c r="H1939" s="18"/>
      <c r="I1939" s="12"/>
      <c r="J1939" s="18"/>
      <c r="K1939" s="13"/>
      <c r="S1939" s="28"/>
    </row>
    <row r="1940">
      <c r="F1940" s="18"/>
      <c r="G1940" s="12"/>
      <c r="H1940" s="18"/>
      <c r="I1940" s="12"/>
      <c r="J1940" s="18"/>
      <c r="K1940" s="13"/>
      <c r="S1940" s="28"/>
    </row>
    <row r="1941">
      <c r="F1941" s="18"/>
      <c r="G1941" s="12"/>
      <c r="H1941" s="18"/>
      <c r="I1941" s="12"/>
      <c r="J1941" s="18"/>
      <c r="K1941" s="13"/>
      <c r="S1941" s="28"/>
    </row>
    <row r="1942">
      <c r="F1942" s="18"/>
      <c r="G1942" s="12"/>
      <c r="H1942" s="18"/>
      <c r="I1942" s="12"/>
      <c r="J1942" s="18"/>
      <c r="K1942" s="13"/>
      <c r="S1942" s="28"/>
    </row>
    <row r="1943">
      <c r="F1943" s="18"/>
      <c r="G1943" s="12"/>
      <c r="H1943" s="18"/>
      <c r="I1943" s="12"/>
      <c r="J1943" s="18"/>
      <c r="K1943" s="13"/>
      <c r="S1943" s="28"/>
    </row>
    <row r="1944">
      <c r="F1944" s="18"/>
      <c r="G1944" s="12"/>
      <c r="H1944" s="18"/>
      <c r="I1944" s="12"/>
      <c r="J1944" s="18"/>
      <c r="K1944" s="13"/>
      <c r="S1944" s="28"/>
    </row>
    <row r="1945">
      <c r="F1945" s="18"/>
      <c r="G1945" s="12"/>
      <c r="H1945" s="18"/>
      <c r="I1945" s="12"/>
      <c r="J1945" s="18"/>
      <c r="K1945" s="13"/>
      <c r="S1945" s="28"/>
    </row>
    <row r="1946">
      <c r="F1946" s="18"/>
      <c r="G1946" s="12"/>
      <c r="H1946" s="18"/>
      <c r="I1946" s="12"/>
      <c r="J1946" s="18"/>
      <c r="K1946" s="13"/>
      <c r="S1946" s="28"/>
    </row>
    <row r="1947">
      <c r="F1947" s="18"/>
      <c r="G1947" s="12"/>
      <c r="H1947" s="18"/>
      <c r="I1947" s="12"/>
      <c r="J1947" s="18"/>
      <c r="K1947" s="13"/>
      <c r="S1947" s="28"/>
    </row>
    <row r="1948">
      <c r="F1948" s="18"/>
      <c r="G1948" s="12"/>
      <c r="H1948" s="18"/>
      <c r="I1948" s="12"/>
      <c r="J1948" s="18"/>
      <c r="K1948" s="13"/>
      <c r="S1948" s="28"/>
    </row>
    <row r="1949">
      <c r="F1949" s="18"/>
      <c r="G1949" s="12"/>
      <c r="H1949" s="18"/>
      <c r="I1949" s="12"/>
      <c r="J1949" s="18"/>
      <c r="K1949" s="13"/>
      <c r="S1949" s="28"/>
    </row>
    <row r="1950">
      <c r="F1950" s="18"/>
      <c r="G1950" s="12"/>
      <c r="H1950" s="18"/>
      <c r="I1950" s="12"/>
      <c r="J1950" s="18"/>
      <c r="K1950" s="13"/>
      <c r="S1950" s="28"/>
    </row>
    <row r="1951">
      <c r="F1951" s="18"/>
      <c r="G1951" s="12"/>
      <c r="H1951" s="18"/>
      <c r="I1951" s="12"/>
      <c r="J1951" s="18"/>
      <c r="K1951" s="13"/>
      <c r="S1951" s="28"/>
    </row>
    <row r="1952">
      <c r="F1952" s="18"/>
      <c r="G1952" s="12"/>
      <c r="H1952" s="18"/>
      <c r="I1952" s="12"/>
      <c r="J1952" s="18"/>
      <c r="K1952" s="13"/>
      <c r="S1952" s="28"/>
    </row>
    <row r="1953">
      <c r="F1953" s="18"/>
      <c r="G1953" s="12"/>
      <c r="H1953" s="18"/>
      <c r="I1953" s="12"/>
      <c r="J1953" s="18"/>
      <c r="K1953" s="13"/>
      <c r="S1953" s="28"/>
    </row>
    <row r="1954">
      <c r="F1954" s="18"/>
      <c r="G1954" s="12"/>
      <c r="H1954" s="18"/>
      <c r="I1954" s="12"/>
      <c r="J1954" s="18"/>
      <c r="K1954" s="13"/>
      <c r="S1954" s="28"/>
    </row>
    <row r="1955">
      <c r="F1955" s="18"/>
      <c r="G1955" s="12"/>
      <c r="H1955" s="18"/>
      <c r="I1955" s="12"/>
      <c r="J1955" s="18"/>
      <c r="K1955" s="13"/>
      <c r="S1955" s="28"/>
    </row>
    <row r="1956">
      <c r="F1956" s="18"/>
      <c r="G1956" s="12"/>
      <c r="H1956" s="18"/>
      <c r="I1956" s="12"/>
      <c r="J1956" s="18"/>
      <c r="K1956" s="13"/>
      <c r="S1956" s="28"/>
    </row>
    <row r="1957">
      <c r="F1957" s="18"/>
      <c r="G1957" s="12"/>
      <c r="H1957" s="18"/>
      <c r="I1957" s="12"/>
      <c r="J1957" s="18"/>
      <c r="K1957" s="13"/>
      <c r="S1957" s="28"/>
    </row>
    <row r="1958">
      <c r="F1958" s="18"/>
      <c r="G1958" s="12"/>
      <c r="H1958" s="18"/>
      <c r="I1958" s="12"/>
      <c r="J1958" s="18"/>
      <c r="K1958" s="13"/>
      <c r="S1958" s="28"/>
    </row>
    <row r="1959">
      <c r="F1959" s="18"/>
      <c r="G1959" s="12"/>
      <c r="H1959" s="18"/>
      <c r="I1959" s="12"/>
      <c r="J1959" s="18"/>
      <c r="K1959" s="13"/>
      <c r="S1959" s="28"/>
    </row>
    <row r="1960">
      <c r="F1960" s="18"/>
      <c r="G1960" s="12"/>
      <c r="H1960" s="18"/>
      <c r="I1960" s="12"/>
      <c r="J1960" s="18"/>
      <c r="K1960" s="13"/>
      <c r="S1960" s="28"/>
    </row>
    <row r="1961">
      <c r="F1961" s="18"/>
      <c r="G1961" s="12"/>
      <c r="H1961" s="18"/>
      <c r="I1961" s="12"/>
      <c r="J1961" s="18"/>
      <c r="K1961" s="13"/>
      <c r="S1961" s="28"/>
    </row>
    <row r="1962">
      <c r="F1962" s="18"/>
      <c r="G1962" s="12"/>
      <c r="H1962" s="18"/>
      <c r="I1962" s="12"/>
      <c r="J1962" s="18"/>
      <c r="K1962" s="13"/>
      <c r="S1962" s="28"/>
    </row>
    <row r="1963">
      <c r="F1963" s="18"/>
      <c r="G1963" s="12"/>
      <c r="H1963" s="18"/>
      <c r="I1963" s="12"/>
      <c r="J1963" s="18"/>
      <c r="K1963" s="13"/>
      <c r="S1963" s="28"/>
    </row>
    <row r="1964">
      <c r="F1964" s="18"/>
      <c r="G1964" s="12"/>
      <c r="H1964" s="18"/>
      <c r="I1964" s="12"/>
      <c r="J1964" s="18"/>
      <c r="K1964" s="13"/>
      <c r="S1964" s="28"/>
    </row>
    <row r="1965">
      <c r="F1965" s="18"/>
      <c r="G1965" s="12"/>
      <c r="H1965" s="18"/>
      <c r="I1965" s="12"/>
      <c r="J1965" s="18"/>
      <c r="K1965" s="13"/>
      <c r="S1965" s="28"/>
    </row>
    <row r="1966">
      <c r="F1966" s="18"/>
      <c r="G1966" s="12"/>
      <c r="H1966" s="18"/>
      <c r="I1966" s="12"/>
      <c r="J1966" s="18"/>
      <c r="K1966" s="13"/>
      <c r="S1966" s="28"/>
    </row>
    <row r="1967">
      <c r="F1967" s="18"/>
      <c r="G1967" s="12"/>
      <c r="H1967" s="18"/>
      <c r="I1967" s="12"/>
      <c r="J1967" s="18"/>
      <c r="K1967" s="13"/>
      <c r="S1967" s="28"/>
    </row>
    <row r="1968">
      <c r="F1968" s="18"/>
      <c r="G1968" s="12"/>
      <c r="H1968" s="18"/>
      <c r="I1968" s="12"/>
      <c r="J1968" s="18"/>
      <c r="K1968" s="13"/>
      <c r="S1968" s="28"/>
    </row>
    <row r="1969">
      <c r="F1969" s="18"/>
      <c r="G1969" s="12"/>
      <c r="H1969" s="18"/>
      <c r="I1969" s="12"/>
      <c r="J1969" s="18"/>
      <c r="K1969" s="13"/>
      <c r="S1969" s="28"/>
    </row>
    <row r="1970">
      <c r="F1970" s="18"/>
      <c r="G1970" s="12"/>
      <c r="H1970" s="18"/>
      <c r="I1970" s="12"/>
      <c r="J1970" s="18"/>
      <c r="K1970" s="13"/>
      <c r="S1970" s="28"/>
    </row>
    <row r="1971">
      <c r="F1971" s="18"/>
      <c r="G1971" s="12"/>
      <c r="H1971" s="18"/>
      <c r="I1971" s="12"/>
      <c r="J1971" s="18"/>
      <c r="K1971" s="13"/>
      <c r="S1971" s="28"/>
    </row>
    <row r="1972">
      <c r="F1972" s="18"/>
      <c r="G1972" s="12"/>
      <c r="H1972" s="18"/>
      <c r="I1972" s="12"/>
      <c r="J1972" s="18"/>
      <c r="K1972" s="13"/>
      <c r="S1972" s="28"/>
    </row>
    <row r="1973">
      <c r="F1973" s="18"/>
      <c r="G1973" s="12"/>
      <c r="H1973" s="18"/>
      <c r="I1973" s="12"/>
      <c r="J1973" s="18"/>
      <c r="K1973" s="13"/>
      <c r="S1973" s="28"/>
    </row>
    <row r="1974">
      <c r="F1974" s="18"/>
      <c r="G1974" s="12"/>
      <c r="H1974" s="18"/>
      <c r="I1974" s="12"/>
      <c r="J1974" s="18"/>
      <c r="K1974" s="13"/>
      <c r="S1974" s="28"/>
    </row>
    <row r="1975">
      <c r="F1975" s="18"/>
      <c r="G1975" s="12"/>
      <c r="H1975" s="18"/>
      <c r="I1975" s="12"/>
      <c r="J1975" s="18"/>
      <c r="K1975" s="13"/>
      <c r="S1975" s="28"/>
    </row>
    <row r="1976">
      <c r="F1976" s="18"/>
      <c r="G1976" s="12"/>
      <c r="H1976" s="18"/>
      <c r="I1976" s="12"/>
      <c r="J1976" s="18"/>
      <c r="K1976" s="13"/>
      <c r="S1976" s="28"/>
    </row>
    <row r="1977">
      <c r="F1977" s="18"/>
      <c r="G1977" s="12"/>
      <c r="H1977" s="18"/>
      <c r="I1977" s="12"/>
      <c r="J1977" s="18"/>
      <c r="K1977" s="13"/>
      <c r="S1977" s="28"/>
    </row>
    <row r="1978">
      <c r="F1978" s="18"/>
      <c r="G1978" s="12"/>
      <c r="H1978" s="18"/>
      <c r="I1978" s="12"/>
      <c r="J1978" s="18"/>
      <c r="K1978" s="13"/>
      <c r="S1978" s="28"/>
    </row>
    <row r="1979">
      <c r="F1979" s="18"/>
      <c r="G1979" s="12"/>
      <c r="H1979" s="18"/>
      <c r="I1979" s="12"/>
      <c r="J1979" s="18"/>
      <c r="K1979" s="13"/>
      <c r="S1979" s="28"/>
    </row>
    <row r="1980">
      <c r="F1980" s="18"/>
      <c r="G1980" s="12"/>
      <c r="H1980" s="18"/>
      <c r="I1980" s="12"/>
      <c r="J1980" s="18"/>
      <c r="K1980" s="13"/>
      <c r="S1980" s="28"/>
    </row>
    <row r="1981">
      <c r="F1981" s="18"/>
      <c r="G1981" s="12"/>
      <c r="H1981" s="18"/>
      <c r="I1981" s="12"/>
      <c r="J1981" s="18"/>
      <c r="K1981" s="13"/>
      <c r="S1981" s="28"/>
    </row>
    <row r="1982">
      <c r="F1982" s="18"/>
      <c r="G1982" s="12"/>
      <c r="H1982" s="18"/>
      <c r="I1982" s="12"/>
      <c r="J1982" s="18"/>
      <c r="K1982" s="13"/>
      <c r="S1982" s="28"/>
    </row>
    <row r="1983">
      <c r="F1983" s="18"/>
      <c r="G1983" s="12"/>
      <c r="H1983" s="18"/>
      <c r="I1983" s="12"/>
      <c r="J1983" s="18"/>
      <c r="K1983" s="13"/>
      <c r="S1983" s="28"/>
    </row>
    <row r="1984">
      <c r="F1984" s="18"/>
      <c r="G1984" s="12"/>
      <c r="H1984" s="18"/>
      <c r="I1984" s="12"/>
      <c r="J1984" s="18"/>
      <c r="K1984" s="13"/>
      <c r="S1984" s="28"/>
    </row>
    <row r="1985">
      <c r="F1985" s="18"/>
      <c r="G1985" s="12"/>
      <c r="H1985" s="18"/>
      <c r="I1985" s="12"/>
      <c r="J1985" s="18"/>
      <c r="K1985" s="13"/>
      <c r="S1985" s="28"/>
    </row>
    <row r="1986">
      <c r="F1986" s="18"/>
      <c r="G1986" s="12"/>
      <c r="H1986" s="18"/>
      <c r="I1986" s="12"/>
      <c r="J1986" s="18"/>
      <c r="K1986" s="13"/>
      <c r="S1986" s="28"/>
    </row>
    <row r="1987">
      <c r="F1987" s="18"/>
      <c r="G1987" s="12"/>
      <c r="H1987" s="18"/>
      <c r="I1987" s="12"/>
      <c r="J1987" s="18"/>
      <c r="K1987" s="13"/>
      <c r="S1987" s="28"/>
    </row>
    <row r="1988">
      <c r="F1988" s="18"/>
      <c r="G1988" s="12"/>
      <c r="H1988" s="18"/>
      <c r="I1988" s="12"/>
      <c r="J1988" s="18"/>
      <c r="K1988" s="13"/>
      <c r="S1988" s="28"/>
    </row>
    <row r="1989">
      <c r="F1989" s="18"/>
      <c r="G1989" s="12"/>
      <c r="H1989" s="18"/>
      <c r="I1989" s="12"/>
      <c r="J1989" s="18"/>
      <c r="K1989" s="13"/>
      <c r="S1989" s="28"/>
    </row>
    <row r="1990">
      <c r="F1990" s="18"/>
      <c r="G1990" s="12"/>
      <c r="H1990" s="18"/>
      <c r="I1990" s="12"/>
      <c r="J1990" s="18"/>
      <c r="K1990" s="13"/>
      <c r="S1990" s="28"/>
    </row>
    <row r="1991">
      <c r="F1991" s="18"/>
      <c r="G1991" s="12"/>
      <c r="H1991" s="18"/>
      <c r="I1991" s="12"/>
      <c r="J1991" s="18"/>
      <c r="K1991" s="13"/>
      <c r="S1991" s="28"/>
    </row>
    <row r="1992">
      <c r="F1992" s="18"/>
      <c r="G1992" s="12"/>
      <c r="H1992" s="18"/>
      <c r="I1992" s="12"/>
      <c r="J1992" s="18"/>
      <c r="K1992" s="13"/>
      <c r="S1992" s="28"/>
    </row>
    <row r="1993">
      <c r="F1993" s="18"/>
      <c r="G1993" s="12"/>
      <c r="H1993" s="18"/>
      <c r="I1993" s="12"/>
      <c r="J1993" s="18"/>
      <c r="K1993" s="13"/>
      <c r="S1993" s="28"/>
    </row>
    <row r="1994">
      <c r="F1994" s="18"/>
      <c r="G1994" s="12"/>
      <c r="H1994" s="18"/>
      <c r="I1994" s="12"/>
      <c r="J1994" s="18"/>
      <c r="K1994" s="13"/>
      <c r="S1994" s="28"/>
    </row>
    <row r="1995">
      <c r="F1995" s="18"/>
      <c r="G1995" s="12"/>
      <c r="H1995" s="18"/>
      <c r="I1995" s="12"/>
      <c r="J1995" s="18"/>
      <c r="K1995" s="13"/>
      <c r="S1995" s="28"/>
    </row>
    <row r="1996">
      <c r="F1996" s="18"/>
      <c r="G1996" s="12"/>
      <c r="H1996" s="18"/>
      <c r="I1996" s="12"/>
      <c r="J1996" s="18"/>
      <c r="K1996" s="13"/>
      <c r="S1996" s="28"/>
    </row>
    <row r="1997">
      <c r="F1997" s="18"/>
      <c r="G1997" s="12"/>
      <c r="H1997" s="18"/>
      <c r="I1997" s="12"/>
      <c r="J1997" s="18"/>
      <c r="K1997" s="13"/>
      <c r="S1997" s="28"/>
    </row>
    <row r="1998">
      <c r="F1998" s="18"/>
      <c r="G1998" s="12"/>
      <c r="H1998" s="18"/>
      <c r="I1998" s="12"/>
      <c r="J1998" s="18"/>
      <c r="K1998" s="13"/>
      <c r="S1998" s="28"/>
    </row>
    <row r="1999">
      <c r="F1999" s="18"/>
      <c r="G1999" s="12"/>
      <c r="H1999" s="18"/>
      <c r="I1999" s="12"/>
      <c r="J1999" s="18"/>
      <c r="K1999" s="13"/>
      <c r="S1999" s="28"/>
    </row>
    <row r="2000">
      <c r="F2000" s="18"/>
      <c r="G2000" s="12"/>
      <c r="H2000" s="18"/>
      <c r="I2000" s="12"/>
      <c r="J2000" s="18"/>
      <c r="K2000" s="13"/>
      <c r="S2000" s="28"/>
    </row>
    <row r="2001">
      <c r="F2001" s="18"/>
      <c r="G2001" s="12"/>
      <c r="H2001" s="18"/>
      <c r="I2001" s="12"/>
      <c r="J2001" s="18"/>
      <c r="K2001" s="13"/>
      <c r="S2001" s="28"/>
    </row>
    <row r="2002">
      <c r="F2002" s="18"/>
      <c r="G2002" s="12"/>
      <c r="H2002" s="18"/>
      <c r="I2002" s="12"/>
      <c r="J2002" s="18"/>
      <c r="K2002" s="13"/>
      <c r="S2002" s="28"/>
    </row>
    <row r="2003">
      <c r="F2003" s="18"/>
      <c r="G2003" s="12"/>
      <c r="H2003" s="18"/>
      <c r="I2003" s="12"/>
      <c r="J2003" s="18"/>
      <c r="K2003" s="13"/>
      <c r="S2003" s="28"/>
    </row>
    <row r="2004">
      <c r="F2004" s="18"/>
      <c r="G2004" s="12"/>
      <c r="H2004" s="18"/>
      <c r="I2004" s="12"/>
      <c r="J2004" s="18"/>
      <c r="K2004" s="13"/>
      <c r="S2004" s="28"/>
    </row>
    <row r="2005">
      <c r="F2005" s="18"/>
      <c r="G2005" s="12"/>
      <c r="H2005" s="18"/>
      <c r="I2005" s="12"/>
      <c r="J2005" s="18"/>
      <c r="K2005" s="13"/>
      <c r="S2005" s="28"/>
    </row>
    <row r="2006">
      <c r="F2006" s="18"/>
      <c r="G2006" s="12"/>
      <c r="H2006" s="18"/>
      <c r="I2006" s="12"/>
      <c r="J2006" s="18"/>
      <c r="K2006" s="13"/>
      <c r="S2006" s="28"/>
    </row>
    <row r="2007">
      <c r="F2007" s="18"/>
      <c r="G2007" s="12"/>
      <c r="H2007" s="18"/>
      <c r="I2007" s="12"/>
      <c r="J2007" s="18"/>
      <c r="K2007" s="13"/>
      <c r="S2007" s="28"/>
    </row>
    <row r="2008">
      <c r="F2008" s="18"/>
      <c r="G2008" s="12"/>
      <c r="H2008" s="18"/>
      <c r="I2008" s="12"/>
      <c r="J2008" s="18"/>
      <c r="K2008" s="13"/>
      <c r="S2008" s="28"/>
    </row>
    <row r="2009">
      <c r="F2009" s="18"/>
      <c r="G2009" s="12"/>
      <c r="H2009" s="18"/>
      <c r="I2009" s="12"/>
      <c r="J2009" s="18"/>
      <c r="K2009" s="13"/>
      <c r="S2009" s="28"/>
    </row>
    <row r="2010">
      <c r="F2010" s="18"/>
      <c r="G2010" s="12"/>
      <c r="H2010" s="18"/>
      <c r="I2010" s="12"/>
      <c r="J2010" s="18"/>
      <c r="K2010" s="13"/>
      <c r="S2010" s="28"/>
    </row>
    <row r="2011">
      <c r="F2011" s="18"/>
      <c r="G2011" s="12"/>
      <c r="H2011" s="18"/>
      <c r="I2011" s="12"/>
      <c r="J2011" s="18"/>
      <c r="K2011" s="13"/>
      <c r="S2011" s="28"/>
    </row>
    <row r="2012">
      <c r="F2012" s="18"/>
      <c r="G2012" s="12"/>
      <c r="H2012" s="18"/>
      <c r="I2012" s="12"/>
      <c r="J2012" s="18"/>
      <c r="K2012" s="13"/>
      <c r="S2012" s="28"/>
    </row>
    <row r="2013">
      <c r="F2013" s="18"/>
      <c r="G2013" s="12"/>
      <c r="H2013" s="18"/>
      <c r="I2013" s="12"/>
      <c r="J2013" s="18"/>
      <c r="K2013" s="13"/>
      <c r="S2013" s="28"/>
    </row>
    <row r="2014">
      <c r="F2014" s="18"/>
      <c r="G2014" s="12"/>
      <c r="H2014" s="18"/>
      <c r="I2014" s="12"/>
      <c r="J2014" s="18"/>
      <c r="K2014" s="13"/>
      <c r="S2014" s="28"/>
    </row>
    <row r="2015">
      <c r="F2015" s="18"/>
      <c r="G2015" s="12"/>
      <c r="H2015" s="18"/>
      <c r="I2015" s="12"/>
      <c r="J2015" s="18"/>
      <c r="K2015" s="13"/>
      <c r="S2015" s="28"/>
    </row>
    <row r="2016">
      <c r="F2016" s="18"/>
      <c r="G2016" s="12"/>
      <c r="H2016" s="18"/>
      <c r="I2016" s="12"/>
      <c r="J2016" s="18"/>
      <c r="K2016" s="13"/>
      <c r="S2016" s="28"/>
    </row>
    <row r="2017">
      <c r="F2017" s="18"/>
      <c r="G2017" s="12"/>
      <c r="H2017" s="18"/>
      <c r="I2017" s="12"/>
      <c r="J2017" s="18"/>
      <c r="K2017" s="13"/>
      <c r="S2017" s="28"/>
    </row>
    <row r="2018">
      <c r="F2018" s="18"/>
      <c r="G2018" s="12"/>
      <c r="H2018" s="18"/>
      <c r="I2018" s="12"/>
      <c r="J2018" s="18"/>
      <c r="K2018" s="13"/>
      <c r="S2018" s="28"/>
    </row>
    <row r="2019">
      <c r="F2019" s="18"/>
      <c r="G2019" s="12"/>
      <c r="H2019" s="18"/>
      <c r="I2019" s="12"/>
      <c r="J2019" s="18"/>
      <c r="K2019" s="13"/>
      <c r="S2019" s="28"/>
    </row>
    <row r="2020">
      <c r="F2020" s="18"/>
      <c r="G2020" s="12"/>
      <c r="H2020" s="18"/>
      <c r="I2020" s="12"/>
      <c r="J2020" s="18"/>
      <c r="K2020" s="13"/>
      <c r="S2020" s="28"/>
    </row>
    <row r="2021">
      <c r="F2021" s="18"/>
      <c r="G2021" s="12"/>
      <c r="H2021" s="18"/>
      <c r="I2021" s="12"/>
      <c r="J2021" s="18"/>
      <c r="K2021" s="13"/>
      <c r="S2021" s="28"/>
    </row>
    <row r="2022">
      <c r="F2022" s="18"/>
      <c r="G2022" s="12"/>
      <c r="H2022" s="18"/>
      <c r="I2022" s="12"/>
      <c r="J2022" s="18"/>
      <c r="K2022" s="13"/>
      <c r="S2022" s="28"/>
    </row>
    <row r="2023">
      <c r="F2023" s="18"/>
      <c r="G2023" s="12"/>
      <c r="H2023" s="18"/>
      <c r="I2023" s="12"/>
      <c r="J2023" s="18"/>
      <c r="K2023" s="13"/>
      <c r="S2023" s="28"/>
    </row>
    <row r="2024">
      <c r="F2024" s="18"/>
      <c r="G2024" s="12"/>
      <c r="H2024" s="18"/>
      <c r="I2024" s="12"/>
      <c r="J2024" s="18"/>
      <c r="K2024" s="13"/>
      <c r="S2024" s="28"/>
    </row>
    <row r="2025">
      <c r="F2025" s="18"/>
      <c r="G2025" s="12"/>
      <c r="H2025" s="18"/>
      <c r="I2025" s="12"/>
      <c r="J2025" s="18"/>
      <c r="K2025" s="13"/>
      <c r="S2025" s="28"/>
    </row>
    <row r="2026">
      <c r="F2026" s="18"/>
      <c r="G2026" s="12"/>
      <c r="H2026" s="18"/>
      <c r="I2026" s="12"/>
      <c r="J2026" s="18"/>
      <c r="K2026" s="13"/>
      <c r="S2026" s="28"/>
    </row>
    <row r="2027">
      <c r="F2027" s="18"/>
      <c r="G2027" s="12"/>
      <c r="H2027" s="18"/>
      <c r="I2027" s="12"/>
      <c r="J2027" s="18"/>
      <c r="K2027" s="13"/>
      <c r="S2027" s="28"/>
    </row>
    <row r="2028">
      <c r="F2028" s="18"/>
      <c r="G2028" s="12"/>
      <c r="H2028" s="18"/>
      <c r="I2028" s="12"/>
      <c r="J2028" s="18"/>
      <c r="K2028" s="13"/>
      <c r="S2028" s="28"/>
    </row>
    <row r="2029">
      <c r="F2029" s="18"/>
      <c r="G2029" s="12"/>
      <c r="H2029" s="18"/>
      <c r="I2029" s="12"/>
      <c r="J2029" s="18"/>
      <c r="K2029" s="13"/>
      <c r="S2029" s="28"/>
    </row>
    <row r="2030">
      <c r="F2030" s="18"/>
      <c r="G2030" s="12"/>
      <c r="H2030" s="18"/>
      <c r="I2030" s="12"/>
      <c r="J2030" s="18"/>
      <c r="K2030" s="13"/>
      <c r="S2030" s="28"/>
    </row>
    <row r="2031">
      <c r="F2031" s="18"/>
      <c r="G2031" s="12"/>
      <c r="H2031" s="18"/>
      <c r="I2031" s="12"/>
      <c r="J2031" s="18"/>
      <c r="K2031" s="13"/>
      <c r="S2031" s="28"/>
    </row>
    <row r="2032">
      <c r="F2032" s="18"/>
      <c r="G2032" s="12"/>
      <c r="H2032" s="18"/>
      <c r="I2032" s="12"/>
      <c r="J2032" s="18"/>
      <c r="K2032" s="13"/>
      <c r="S2032" s="28"/>
    </row>
    <row r="2033">
      <c r="F2033" s="18"/>
      <c r="G2033" s="12"/>
      <c r="H2033" s="18"/>
      <c r="I2033" s="12"/>
      <c r="J2033" s="18"/>
      <c r="K2033" s="13"/>
      <c r="S2033" s="28"/>
    </row>
    <row r="2034">
      <c r="F2034" s="18"/>
      <c r="G2034" s="12"/>
      <c r="H2034" s="18"/>
      <c r="I2034" s="12"/>
      <c r="J2034" s="18"/>
      <c r="K2034" s="13"/>
      <c r="S2034" s="28"/>
    </row>
    <row r="2035">
      <c r="F2035" s="18"/>
      <c r="G2035" s="12"/>
      <c r="H2035" s="18"/>
      <c r="I2035" s="12"/>
      <c r="J2035" s="18"/>
      <c r="K2035" s="13"/>
      <c r="S2035" s="28"/>
    </row>
    <row r="2036">
      <c r="F2036" s="18"/>
      <c r="G2036" s="12"/>
      <c r="H2036" s="18"/>
      <c r="I2036" s="12"/>
      <c r="J2036" s="18"/>
      <c r="K2036" s="13"/>
      <c r="S2036" s="28"/>
    </row>
    <row r="2037">
      <c r="F2037" s="18"/>
      <c r="G2037" s="12"/>
      <c r="H2037" s="18"/>
      <c r="I2037" s="12"/>
      <c r="J2037" s="18"/>
      <c r="K2037" s="13"/>
      <c r="S2037" s="28"/>
    </row>
    <row r="2038">
      <c r="F2038" s="18"/>
      <c r="G2038" s="12"/>
      <c r="H2038" s="18"/>
      <c r="I2038" s="12"/>
      <c r="J2038" s="18"/>
      <c r="K2038" s="13"/>
      <c r="S2038" s="28"/>
    </row>
    <row r="2039">
      <c r="F2039" s="18"/>
      <c r="G2039" s="12"/>
      <c r="H2039" s="18"/>
      <c r="I2039" s="12"/>
      <c r="J2039" s="18"/>
      <c r="K2039" s="13"/>
      <c r="S2039" s="28"/>
    </row>
    <row r="2040">
      <c r="F2040" s="18"/>
      <c r="G2040" s="12"/>
      <c r="H2040" s="18"/>
      <c r="I2040" s="12"/>
      <c r="J2040" s="18"/>
      <c r="K2040" s="13"/>
      <c r="S2040" s="28"/>
    </row>
    <row r="2041">
      <c r="F2041" s="18"/>
      <c r="G2041" s="12"/>
      <c r="H2041" s="18"/>
      <c r="I2041" s="12"/>
      <c r="J2041" s="18"/>
      <c r="K2041" s="13"/>
      <c r="S2041" s="28"/>
    </row>
    <row r="2042">
      <c r="F2042" s="18"/>
      <c r="G2042" s="12"/>
      <c r="H2042" s="18"/>
      <c r="I2042" s="12"/>
      <c r="J2042" s="18"/>
      <c r="K2042" s="13"/>
      <c r="S2042" s="28"/>
    </row>
    <row r="2043">
      <c r="F2043" s="18"/>
      <c r="G2043" s="12"/>
      <c r="H2043" s="18"/>
      <c r="I2043" s="12"/>
      <c r="J2043" s="18"/>
      <c r="K2043" s="13"/>
      <c r="S2043" s="28"/>
    </row>
    <row r="2044">
      <c r="F2044" s="18"/>
      <c r="G2044" s="12"/>
      <c r="H2044" s="18"/>
      <c r="I2044" s="12"/>
      <c r="J2044" s="18"/>
      <c r="K2044" s="13"/>
      <c r="S2044" s="28"/>
    </row>
    <row r="2045">
      <c r="F2045" s="18"/>
      <c r="G2045" s="12"/>
      <c r="H2045" s="18"/>
      <c r="I2045" s="12"/>
      <c r="J2045" s="18"/>
      <c r="K2045" s="13"/>
      <c r="S2045" s="28"/>
    </row>
    <row r="2046">
      <c r="F2046" s="18"/>
      <c r="G2046" s="12"/>
      <c r="H2046" s="18"/>
      <c r="I2046" s="12"/>
      <c r="J2046" s="18"/>
      <c r="K2046" s="13"/>
      <c r="S2046" s="28"/>
    </row>
    <row r="2047">
      <c r="F2047" s="18"/>
      <c r="G2047" s="12"/>
      <c r="H2047" s="18"/>
      <c r="I2047" s="12"/>
      <c r="J2047" s="18"/>
      <c r="K2047" s="13"/>
      <c r="S2047" s="28"/>
    </row>
    <row r="2048">
      <c r="F2048" s="18"/>
      <c r="G2048" s="12"/>
      <c r="H2048" s="18"/>
      <c r="I2048" s="12"/>
      <c r="J2048" s="18"/>
      <c r="K2048" s="13"/>
      <c r="S2048" s="28"/>
    </row>
    <row r="2049">
      <c r="F2049" s="18"/>
      <c r="G2049" s="12"/>
      <c r="H2049" s="18"/>
      <c r="I2049" s="12"/>
      <c r="J2049" s="18"/>
      <c r="K2049" s="13"/>
      <c r="S2049" s="28"/>
    </row>
    <row r="2050">
      <c r="F2050" s="18"/>
      <c r="G2050" s="12"/>
      <c r="H2050" s="18"/>
      <c r="I2050" s="12"/>
      <c r="J2050" s="18"/>
      <c r="K2050" s="13"/>
      <c r="S2050" s="28"/>
    </row>
    <row r="2051">
      <c r="F2051" s="18"/>
      <c r="G2051" s="12"/>
      <c r="H2051" s="18"/>
      <c r="I2051" s="12"/>
      <c r="J2051" s="18"/>
      <c r="K2051" s="13"/>
      <c r="S2051" s="28"/>
    </row>
    <row r="2052">
      <c r="F2052" s="18"/>
      <c r="G2052" s="12"/>
      <c r="H2052" s="18"/>
      <c r="I2052" s="12"/>
      <c r="J2052" s="18"/>
      <c r="K2052" s="13"/>
      <c r="S2052" s="28"/>
    </row>
    <row r="2053">
      <c r="F2053" s="18"/>
      <c r="G2053" s="12"/>
      <c r="H2053" s="18"/>
      <c r="I2053" s="12"/>
      <c r="J2053" s="18"/>
      <c r="K2053" s="13"/>
      <c r="S2053" s="28"/>
    </row>
    <row r="2054">
      <c r="F2054" s="18"/>
      <c r="G2054" s="12"/>
      <c r="H2054" s="18"/>
      <c r="I2054" s="12"/>
      <c r="J2054" s="18"/>
      <c r="K2054" s="13"/>
      <c r="S2054" s="28"/>
    </row>
    <row r="2055">
      <c r="F2055" s="18"/>
      <c r="G2055" s="12"/>
      <c r="H2055" s="18"/>
      <c r="I2055" s="12"/>
      <c r="J2055" s="18"/>
      <c r="K2055" s="13"/>
      <c r="S2055" s="28"/>
    </row>
    <row r="2056">
      <c r="F2056" s="18"/>
      <c r="G2056" s="12"/>
      <c r="H2056" s="18"/>
      <c r="I2056" s="12"/>
      <c r="J2056" s="18"/>
      <c r="K2056" s="13"/>
      <c r="S2056" s="28"/>
    </row>
    <row r="2057">
      <c r="F2057" s="18"/>
      <c r="G2057" s="12"/>
      <c r="H2057" s="18"/>
      <c r="I2057" s="12"/>
      <c r="J2057" s="18"/>
      <c r="K2057" s="13"/>
      <c r="S2057" s="28"/>
    </row>
    <row r="2058">
      <c r="F2058" s="18"/>
      <c r="G2058" s="12"/>
      <c r="H2058" s="18"/>
      <c r="I2058" s="12"/>
      <c r="J2058" s="18"/>
      <c r="K2058" s="13"/>
      <c r="S2058" s="28"/>
    </row>
    <row r="2059">
      <c r="F2059" s="18"/>
      <c r="G2059" s="12"/>
      <c r="H2059" s="18"/>
      <c r="I2059" s="12"/>
      <c r="J2059" s="18"/>
      <c r="K2059" s="13"/>
      <c r="S2059" s="28"/>
    </row>
    <row r="2060">
      <c r="F2060" s="18"/>
      <c r="G2060" s="12"/>
      <c r="H2060" s="18"/>
      <c r="I2060" s="12"/>
      <c r="J2060" s="18"/>
      <c r="K2060" s="13"/>
      <c r="S2060" s="28"/>
    </row>
    <row r="2061">
      <c r="F2061" s="18"/>
      <c r="G2061" s="12"/>
      <c r="H2061" s="18"/>
      <c r="I2061" s="12"/>
      <c r="J2061" s="18"/>
      <c r="K2061" s="13"/>
      <c r="S2061" s="28"/>
    </row>
    <row r="2062">
      <c r="F2062" s="18"/>
      <c r="G2062" s="12"/>
      <c r="H2062" s="18"/>
      <c r="I2062" s="12"/>
      <c r="J2062" s="18"/>
      <c r="K2062" s="13"/>
      <c r="S2062" s="28"/>
    </row>
    <row r="2063">
      <c r="F2063" s="18"/>
      <c r="G2063" s="12"/>
      <c r="H2063" s="18"/>
      <c r="I2063" s="12"/>
      <c r="J2063" s="18"/>
      <c r="K2063" s="13"/>
      <c r="S2063" s="28"/>
    </row>
    <row r="2064">
      <c r="F2064" s="18"/>
      <c r="G2064" s="12"/>
      <c r="H2064" s="18"/>
      <c r="I2064" s="12"/>
      <c r="J2064" s="18"/>
      <c r="K2064" s="13"/>
      <c r="S2064" s="28"/>
    </row>
    <row r="2065">
      <c r="F2065" s="18"/>
      <c r="G2065" s="12"/>
      <c r="H2065" s="18"/>
      <c r="I2065" s="12"/>
      <c r="J2065" s="18"/>
      <c r="K2065" s="13"/>
      <c r="S2065" s="28"/>
    </row>
    <row r="2066">
      <c r="F2066" s="18"/>
      <c r="G2066" s="12"/>
      <c r="H2066" s="18"/>
      <c r="I2066" s="12"/>
      <c r="J2066" s="18"/>
      <c r="K2066" s="13"/>
      <c r="S2066" s="28"/>
    </row>
    <row r="2067">
      <c r="F2067" s="18"/>
      <c r="G2067" s="12"/>
      <c r="H2067" s="18"/>
      <c r="I2067" s="12"/>
      <c r="J2067" s="18"/>
      <c r="K2067" s="13"/>
      <c r="S2067" s="28"/>
    </row>
    <row r="2068">
      <c r="F2068" s="18"/>
      <c r="G2068" s="12"/>
      <c r="H2068" s="18"/>
      <c r="I2068" s="12"/>
      <c r="J2068" s="18"/>
      <c r="K2068" s="13"/>
      <c r="S2068" s="28"/>
    </row>
    <row r="2069">
      <c r="F2069" s="18"/>
      <c r="G2069" s="12"/>
      <c r="H2069" s="18"/>
      <c r="I2069" s="12"/>
      <c r="J2069" s="18"/>
      <c r="K2069" s="13"/>
      <c r="S2069" s="28"/>
    </row>
    <row r="2070">
      <c r="F2070" s="18"/>
      <c r="G2070" s="12"/>
      <c r="H2070" s="18"/>
      <c r="I2070" s="12"/>
      <c r="J2070" s="18"/>
      <c r="K2070" s="13"/>
      <c r="S2070" s="28"/>
    </row>
    <row r="2071">
      <c r="F2071" s="18"/>
      <c r="G2071" s="12"/>
      <c r="H2071" s="18"/>
      <c r="I2071" s="12"/>
      <c r="J2071" s="18"/>
      <c r="K2071" s="13"/>
      <c r="S2071" s="28"/>
    </row>
    <row r="2072">
      <c r="F2072" s="18"/>
      <c r="G2072" s="12"/>
      <c r="H2072" s="18"/>
      <c r="I2072" s="12"/>
      <c r="J2072" s="18"/>
      <c r="K2072" s="13"/>
      <c r="S2072" s="28"/>
    </row>
    <row r="2073">
      <c r="F2073" s="18"/>
      <c r="G2073" s="12"/>
      <c r="H2073" s="18"/>
      <c r="I2073" s="12"/>
      <c r="J2073" s="18"/>
      <c r="K2073" s="13"/>
      <c r="S2073" s="28"/>
    </row>
    <row r="2074">
      <c r="F2074" s="18"/>
      <c r="G2074" s="12"/>
      <c r="H2074" s="18"/>
      <c r="I2074" s="12"/>
      <c r="J2074" s="18"/>
      <c r="K2074" s="13"/>
      <c r="S2074" s="28"/>
    </row>
  </sheetData>
  <autoFilter ref="$A$1:$AT$1075">
    <sortState ref="A1:AT1075">
      <sortCondition ref="A1:A1075"/>
      <sortCondition ref="B1:B1075"/>
    </sortState>
  </autoFilter>
  <customSheetViews>
    <customSheetView guid="{716E8DA9-57C1-4A99-BA58-6C4D299CA339}" filter="1" showAutoFilter="1">
      <autoFilter ref="$A$1:$AT$1075">
        <filterColumn colId="7">
          <filters blank="1">
            <filter val="11/3/2021"/>
            <filter val="8/1/2024"/>
            <filter val="6/18/2025"/>
            <filter val="8/1/2023"/>
            <filter val="1/2/2024"/>
            <filter val="10/11/2024"/>
            <filter val="2/18/2024"/>
            <filter val="2/18/2022"/>
            <filter val="1/15/2024"/>
            <filter val="1/15/2025"/>
            <filter val="11/1/2019"/>
            <filter val="2/7/2025"/>
            <filter val="1/7/2022"/>
            <filter val="6/11/2025"/>
            <filter val="7/7/2025"/>
            <filter val="6/7/2024"/>
            <filter val="4/7/2025"/>
            <filter val="11/21/2021"/>
            <filter val="9/24/2022"/>
            <filter val="5/10"/>
            <filter val="4/25/2025"/>
            <filter val="6/6/2025"/>
            <filter val="2/6/2025"/>
            <filter val="11/4/2021"/>
            <filter val="10/24/2021"/>
            <filter val="11/1/2021"/>
            <filter val="11/20/2021"/>
            <filter val="5/8/2025"/>
            <filter val="11/15/2023"/>
            <filter val="6/28/2023"/>
            <filter val="3/2/2020"/>
            <filter val="5/24/2025"/>
            <filter val="3/2/2025"/>
            <filter val="10/5/2022"/>
            <filter val="7/16/2023"/>
            <filter val="7/19/2025"/>
            <filter val="11/17/2022"/>
            <filter val="8/31/2022"/>
            <filter val="7/20/2023"/>
            <filter val="1/21/2022"/>
            <filter val="11/6/2024"/>
            <filter val="11/20"/>
            <filter val="6/15/2022"/>
            <filter val="4/14"/>
            <filter val="5/12/2024"/>
            <filter val="3/5/2024"/>
            <filter val="3/18/2025"/>
            <filter val="9/26/2020"/>
            <filter val="2/16/2022"/>
            <filter val="7/25/2023"/>
            <filter val="7/17/2023"/>
            <filter val="6/14/2025"/>
            <filter val="7/17/2025"/>
            <filter val="7/24/2019"/>
            <filter val="11/10/2021"/>
            <filter val="11/24/2021"/>
            <filter val="???"/>
            <filter val="3/3/2020"/>
            <filter val="3/9/2025"/>
            <filter val="1/6/2022"/>
            <filter val="10/4/2020"/>
            <filter val="12/12/2021"/>
            <filter val="7/6/2025"/>
            <filter val="2/26/2025"/>
            <filter val="11/5/2022"/>
            <filter val="6/2/2025"/>
            <filter val="12/26/2021"/>
            <filter val="8/2/2023"/>
            <filter val="6/10/2025"/>
            <filter val="10/29/2024"/>
          </filters>
        </filterColumn>
      </autoFilter>
    </customSheetView>
    <customSheetView guid="{E351869E-1BFC-4586-AE74-4D6478CBFA15}" filter="1" showAutoFilter="1">
      <autoFilter ref="$A$1:$AT$1075">
        <filterColumn colId="7">
          <filters blank="1">
            <filter val="8/1/2024"/>
            <filter val="6/18/2025"/>
            <filter val="8/1/2023"/>
            <filter val="1/2/2024"/>
            <filter val="10/11/2024"/>
            <filter val="2/18/2024"/>
            <filter val="2/18/2022"/>
            <filter val="1/15/2024"/>
            <filter val="1/15/2025"/>
            <filter val="11/1/2019"/>
            <filter val="2/7/2025"/>
            <filter val="1/7/2022"/>
            <filter val="6/11/2025"/>
            <filter val="4/6"/>
            <filter val="7/7/2025"/>
            <filter val="6/7/2024"/>
            <filter val="4/7/2025"/>
            <filter val="11/21/2021"/>
            <filter val="9/24/2022"/>
            <filter val="5/10"/>
            <filter val="4/25/2025"/>
            <filter val="6/6/2025"/>
            <filter val="2/6/2025"/>
            <filter val="11/1/2021"/>
            <filter val="11/20/2021"/>
            <filter val="5/8/2025"/>
            <filter val="11/15/2023"/>
            <filter val="6/28/2023"/>
            <filter val="3/2/2020"/>
            <filter val="5/24/2025"/>
            <filter val="3/2/2025"/>
            <filter val="10/5/2022"/>
            <filter val="7/16/2023"/>
            <filter val="7/19/2025"/>
            <filter val="11/17/2022"/>
            <filter val="8/31/2022"/>
            <filter val="7/20/2023"/>
            <filter val="1/21/2022"/>
            <filter val="11/6/2024"/>
            <filter val="11/20"/>
            <filter val="6/15/2022"/>
            <filter val="4/14"/>
            <filter val="5/12/2024"/>
            <filter val="3/5/2024"/>
            <filter val="3/18/2025"/>
            <filter val="9/26/2020"/>
            <filter val="2/16/2022"/>
            <filter val="7/25/2023"/>
            <filter val="7/17/2023"/>
            <filter val="6/14/2025"/>
            <filter val="7/17/2025"/>
            <filter val="7/24/2019"/>
            <filter val="11/24/2021"/>
            <filter val="???"/>
            <filter val="3/3/2020"/>
            <filter val="3/9/2025"/>
            <filter val="1/6/2022"/>
            <filter val="10/4/2020"/>
            <filter val="12/12/2021"/>
            <filter val="7/6/2025"/>
            <filter val="2/26/2025"/>
            <filter val="11/5/2022"/>
            <filter val="6/2/2025"/>
            <filter val="12/26/2021"/>
            <filter val="8/2/2023"/>
            <filter val="6/10/2025"/>
            <filter val="10/29/2024"/>
          </filters>
        </filterColumn>
        <filterColumn colId="9">
          <filters>
            <filter val="1/24/2025"/>
            <filter val="2/21/2025"/>
            <filter val="2/2/2025"/>
            <filter val="3/29/2025"/>
            <filter val="3/16/2025"/>
            <filter val="3/31/2025"/>
            <filter val="2/20/2025"/>
            <filter val="4/7"/>
            <filter val="4/8"/>
            <filter val="1/16/25"/>
            <filter val="2/3/2025"/>
            <filter val="2/22/2025"/>
            <filter val="2/5/2025"/>
            <filter val="2/10/2025"/>
            <filter val="2/23/2025"/>
            <filter val="4/4/2025"/>
            <filter val="3/28/2025"/>
            <filter val="1/14/2025"/>
            <filter val="1/17/2025"/>
            <filter val="1/30/2025"/>
            <filter val="2/8/2025"/>
            <filter val="1/15/2025"/>
            <filter val="2/7/2025"/>
            <filter val="4/2025"/>
            <filter val="2/6/2025"/>
            <filter val="1/31/2025"/>
            <filter val="1/18/2025"/>
            <filter val="2/25/2025"/>
            <filter val="4/13"/>
            <filter val="4/14"/>
            <filter val="3/21/2025"/>
            <filter val="2/4/2025"/>
            <filter val="3/20/2025"/>
            <filter val="3/4/2025"/>
            <filter val="3/26/2025"/>
            <filter val="1/19/2025"/>
            <filter val="3/11/2025"/>
            <filter val="1/28/2025"/>
            <filter val="3/30/2025"/>
            <filter val="4/19"/>
          </filters>
        </filterColumn>
      </autoFilter>
    </customSheetView>
    <customSheetView guid="{8349A731-DC73-4191-9909-0CA7F28D2525}" filter="1" showAutoFilter="1">
      <autoFilter ref="$A$1:$AT$1075">
        <filterColumn colId="7">
          <filters blank="1">
            <filter val="11/3/2021"/>
            <filter val="8/1/2024"/>
            <filter val="6/18/2025"/>
            <filter val="8/1/2023"/>
            <filter val="1/2/2024"/>
            <filter val="10/11/2024"/>
            <filter val="2/18/2024"/>
            <filter val="2/18/2022"/>
            <filter val="1/15/2024"/>
            <filter val="1/15/2025"/>
            <filter val="11/1/2019"/>
            <filter val="2/7/2025"/>
            <filter val="1/7/2022"/>
            <filter val="6/11/2025"/>
            <filter val="4/6"/>
            <filter val="7/7/2025"/>
            <filter val="6/7/2024"/>
            <filter val="4/7/2025"/>
            <filter val="11/21/2021"/>
            <filter val="9/24/2022"/>
            <filter val="5/10"/>
            <filter val="4/25/2025"/>
            <filter val="6/6/2025"/>
            <filter val="2/6/2025"/>
            <filter val="11/4/2021"/>
            <filter val="10/24/2021"/>
            <filter val="11/1/2021"/>
            <filter val="11/20/2021"/>
            <filter val="5/8/2025"/>
            <filter val="11/15/2023"/>
            <filter val="6/28/2023"/>
            <filter val="3/2/2020"/>
            <filter val="5/24/2025"/>
            <filter val="3/2/2025"/>
            <filter val="10/5/2022"/>
            <filter val="7/16/2023"/>
            <filter val="7/19/2025"/>
            <filter val="11/17/2022"/>
            <filter val="8/31/2022"/>
            <filter val="7/20/2023"/>
            <filter val="1/21/2022"/>
            <filter val="11/6/2024"/>
            <filter val="11/20"/>
            <filter val="6/15/2022"/>
            <filter val="4/14"/>
            <filter val="5/12/2024"/>
            <filter val="3/5/2024"/>
            <filter val="3/18/2025"/>
            <filter val="9/26/2020"/>
            <filter val="2/16/2022"/>
            <filter val="7/25/2023"/>
            <filter val="7/17/2023"/>
            <filter val="6/14/2025"/>
            <filter val="7/17/2025"/>
            <filter val="7/24/2019"/>
            <filter val="11/10/2021"/>
            <filter val="11/24/2021"/>
            <filter val="???"/>
            <filter val="3/3/2020"/>
            <filter val="3/9/2025"/>
            <filter val="1/6/2022"/>
            <filter val="10/4/2020"/>
            <filter val="12/12/2021"/>
            <filter val="7/6/2025"/>
            <filter val="2/26/2025"/>
            <filter val="11/5/2022"/>
            <filter val="6/2/2025"/>
            <filter val="12/26/2021"/>
            <filter val="8/2/2023"/>
            <filter val="6/10/2025"/>
            <filter val="10/29/2024"/>
          </filters>
        </filterColumn>
        <filterColumn colId="9">
          <filters>
            <filter val="1/24/2025"/>
            <filter val="4/11/2018"/>
            <filter val="2/21/2025"/>
            <filter val="2/2/2025"/>
            <filter val="2/18/2024"/>
            <filter val="1/10/2024"/>
            <filter val="3/29/2021"/>
            <filter val="1/1/2020"/>
            <filter val="2/1/2024"/>
            <filter val="3/16/2025"/>
            <filter val="1/1/2023"/>
            <filter val="3/1/2024"/>
            <filter val="2/20/2025"/>
            <filter val="4/1/2021"/>
            <filter val="5/23/2022"/>
            <filter val="4/12/2024"/>
            <filter val="2/1/2020"/>
            <filter val="12/17"/>
            <filter val="1/24/2024"/>
            <filter val="1/16/25"/>
            <filter val="4/3/2024"/>
            <filter val="5/18/2019"/>
            <filter val="10/24/2021"/>
            <filter val="5/20/2019"/>
            <filter val="2/3/2025"/>
            <filter val="1/23/2020"/>
            <filter val="3/1/2017"/>
            <filter val="3/2/2020"/>
            <filter val="1/1/2016"/>
            <filter val="1/26/2024"/>
            <filter val="3/31/2018"/>
            <filter val="3/2/2024"/>
            <filter val="4/28/2022"/>
            <filter val="2/22/2025"/>
            <filter val="4/15/2020"/>
            <filter val="1/21/2024"/>
            <filter val="1/5/2024"/>
            <filter val="2/5/2025"/>
            <filter val="2/10/2025"/>
            <filter val="3/3/2017"/>
            <filter val="1/5/2020"/>
            <filter val="2/5/2024"/>
            <filter val="2/10/2022"/>
            <filter val="1/4/2024"/>
            <filter val="12/13/2020"/>
            <filter val="2/23/2025"/>
            <filter val="2/16/2024"/>
            <filter val="1/21/2020"/>
            <filter val="1/4/2021"/>
            <filter val="1/14/2025"/>
            <filter val="1/17/2025"/>
            <filter val="1/30/2025"/>
            <filter val="11/30/2021"/>
            <filter val="12/29/2023"/>
            <filter val="12/29/2020"/>
            <filter val="1/11/2024"/>
            <filter val="11/14/2021"/>
            <filter val="11/9/2020"/>
            <filter val="1/8/2021"/>
            <filter val="2/8/2025"/>
            <filter val="1/8/2024"/>
            <filter val="1/15/2025"/>
            <filter val="3/6/2019"/>
            <filter val="1/7/2024"/>
            <filter val="2/7/2025"/>
            <filter val="12/10/2020"/>
            <filter val="4/6/2021"/>
            <filter val="2/6/2025"/>
            <filter val="4/6/2020"/>
            <filter val="2/6/2024"/>
            <filter val="2/28/2024"/>
            <filter val="4/22/2022"/>
            <filter val="4/8/2018"/>
            <filter val="1/31/2024"/>
            <filter val="7/23/2019"/>
            <filter val="1/31/2025"/>
            <filter val="1/29/2024"/>
            <filter val="3/10/2024"/>
            <filter val="1/18/2025"/>
            <filter val="3/27"/>
            <filter val="11/15/2021"/>
            <filter val="3/26"/>
            <filter val="2/25/2025"/>
            <filter val="3/23/2019"/>
            <filter val="11/29/2021"/>
            <filter val="2/24/2024"/>
            <filter val="3/26/2021"/>
            <filter val="3/21/2025"/>
            <filter val="3/11/2019"/>
            <filter val="4/29/2022"/>
            <filter val="2/4/2025"/>
            <filter val="3/20/2025"/>
            <filter val="3/20/2024"/>
            <filter val="3/4/2025"/>
            <filter val="3/26/2025"/>
            <filter val="1/19/2020"/>
            <filter val="1/13/2024"/>
            <filter val="1/19/2025"/>
            <filter val="1/19/2024"/>
            <filter val="11/10/2020"/>
            <filter val="3/11/2025"/>
            <filter val="1/9/2024"/>
            <filter val="12/31/2019"/>
            <filter val="1/22/2020"/>
            <filter val="1/6/2024"/>
            <filter val="3/11/2024"/>
            <filter val="2023"/>
            <filter val="12/12/2021"/>
            <filter val="1/28/2025"/>
            <filter val="4/13/2020"/>
            <filter val="12/18/2023"/>
            <filter val="1/28/2022"/>
            <filter val="1/28/2024"/>
            <filter val="4/16/2022"/>
            <filter val="4/23/2018"/>
            <filter val="2016"/>
            <filter val="4/5/2024"/>
            <filter val="4/2/2021"/>
            <filter val="11/8/2021"/>
            <filter val="10/23/2021"/>
          </filters>
        </filterColumn>
        <filterColumn colId="10">
          <filters blank="1">
            <filter val="f"/>
            <filter val="?"/>
          </filters>
        </filterColumn>
      </autoFilter>
    </customSheetView>
  </customSheetViews>
  <conditionalFormatting sqref="B87">
    <cfRule type="expression" dxfId="0" priority="1">
      <formula>not(isblank($H86))</formula>
    </cfRule>
  </conditionalFormatting>
  <conditionalFormatting sqref="A1:A2074 B1:B85 C1:AL2074 B88:B2074">
    <cfRule type="expression" dxfId="0" priority="2">
      <formula>not(isblank($H1))</formula>
    </cfRule>
  </conditionalFormatting>
  <conditionalFormatting sqref="AF1:AF2074">
    <cfRule type="cellIs" dxfId="1" priority="3" operator="equal">
      <formula>"W"</formula>
    </cfRule>
  </conditionalFormatting>
  <dataValidations>
    <dataValidation type="list" allowBlank="1" showErrorMessage="1" sqref="AF2:AF286">
      <formula1>"f,Winners,m,?"</formula1>
    </dataValidation>
    <dataValidation type="list" allowBlank="1" showErrorMessage="1" sqref="C2:C286">
      <formula1>"original flock,1,2,3,Jester-5,4,purple hay ewe,4h,left ear,1234,HSA 2401"</formula1>
    </dataValidation>
    <dataValidation type="list" allowBlank="1" showErrorMessage="1" sqref="AA2:AA286">
      <formula1>"v,c"</formula1>
    </dataValidation>
    <dataValidation type="list" allowBlank="1" showErrorMessage="1" sqref="K1:K2074">
      <formula1>"f,m,?,%female,55.45%"</formula1>
    </dataValidation>
    <dataValidation type="list" allowBlank="1" showErrorMessage="1" sqref="AG2:AG286">
      <formula1>"was 1004,was 1060,80,75,70,58,62,scrawny-ass tiny"</formula1>
    </dataValidation>
    <dataValidation type="list" allowBlank="1" showErrorMessage="1" sqref="Z2:Z286">
      <formula1>"x,?"</formula1>
    </dataValidation>
    <dataValidation type="list" allowBlank="1" showErrorMessage="1" sqref="AH2:AH286">
      <formula1>"Janes,X"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